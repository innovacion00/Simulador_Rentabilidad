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ehSuites\Desktop\"/>
    </mc:Choice>
  </mc:AlternateContent>
  <xr:revisionPtr revIDLastSave="0" documentId="13_ncr:1_{D97BF693-B5D3-4CFB-866F-DF1179CD33D7}" xr6:coauthVersionLast="47" xr6:coauthVersionMax="47" xr10:uidLastSave="{00000000-0000-0000-0000-000000000000}"/>
  <bookViews>
    <workbookView xWindow="-120" yWindow="-120" windowWidth="20730" windowHeight="11040" tabRatio="514" xr2:uid="{00000000-000D-0000-FFFF-FFFF00000000}"/>
  </bookViews>
  <sheets>
    <sheet name="Mostrar Ejemplos " sheetId="15" r:id="rId1"/>
    <sheet name="Hoja1" sheetId="12" r:id="rId2"/>
    <sheet name="Hoja3 (2)" sheetId="9" r:id="rId3"/>
    <sheet name="Hoja3" sheetId="3" r:id="rId4"/>
    <sheet name="Comp x Año - Dif Tarifa" sheetId="1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4" i="15" l="1"/>
  <c r="B13" i="15" l="1"/>
  <c r="B11" i="15"/>
  <c r="N61" i="15"/>
  <c r="M61" i="15"/>
  <c r="L61" i="15"/>
  <c r="J61" i="15"/>
  <c r="I61" i="15"/>
  <c r="H61" i="15"/>
  <c r="F61" i="15"/>
  <c r="E61" i="15"/>
  <c r="D61" i="15"/>
  <c r="F18" i="15"/>
  <c r="J18" i="15" s="1"/>
  <c r="N18" i="15" s="1"/>
  <c r="N21" i="15" s="1"/>
  <c r="B12" i="15"/>
  <c r="F21" i="15" l="1"/>
  <c r="F50" i="15" s="1"/>
  <c r="J21" i="15"/>
  <c r="J27" i="15"/>
  <c r="N23" i="15"/>
  <c r="F35" i="15" l="1"/>
  <c r="F27" i="15"/>
  <c r="J35" i="15"/>
  <c r="J43" i="15"/>
  <c r="J50" i="15"/>
  <c r="N27" i="15"/>
  <c r="N35" i="15"/>
  <c r="J23" i="15"/>
  <c r="J73" i="15" s="1"/>
  <c r="N43" i="15"/>
  <c r="N50" i="15"/>
  <c r="J26" i="15"/>
  <c r="J29" i="15" s="1"/>
  <c r="F23" i="15"/>
  <c r="F73" i="15" s="1"/>
  <c r="N26" i="15"/>
  <c r="F43" i="15"/>
  <c r="F26" i="15"/>
  <c r="N73" i="15"/>
  <c r="F29" i="15" l="1"/>
  <c r="F31" i="15" s="1"/>
  <c r="N29" i="15"/>
  <c r="N31" i="15" s="1"/>
  <c r="J31" i="15"/>
  <c r="D18" i="15"/>
  <c r="D21" i="15" s="1"/>
  <c r="E18" i="15"/>
  <c r="E21" i="15" s="1"/>
  <c r="L54" i="15" l="1"/>
  <c r="M54" i="15" s="1"/>
  <c r="N54" i="15" s="1"/>
  <c r="H54" i="15"/>
  <c r="I54" i="15" s="1"/>
  <c r="J54" i="15" s="1"/>
  <c r="E54" i="15"/>
  <c r="F54" i="15" s="1"/>
  <c r="I18" i="15"/>
  <c r="H18" i="15"/>
  <c r="F65" i="15" l="1"/>
  <c r="F67" i="15" s="1"/>
  <c r="F68" i="15" s="1"/>
  <c r="F70" i="15" s="1"/>
  <c r="F74" i="15" s="1"/>
  <c r="N65" i="15"/>
  <c r="N67" i="15" s="1"/>
  <c r="N68" i="15" s="1"/>
  <c r="N70" i="15" s="1"/>
  <c r="N74" i="15" s="1"/>
  <c r="J65" i="15"/>
  <c r="J67" i="15" s="1"/>
  <c r="J68" i="15" s="1"/>
  <c r="J70" i="15" s="1"/>
  <c r="J74" i="15" s="1"/>
  <c r="L18" i="15"/>
  <c r="L21" i="15" s="1"/>
  <c r="H21" i="15"/>
  <c r="M18" i="15"/>
  <c r="M21" i="15" s="1"/>
  <c r="M26" i="15" s="1"/>
  <c r="I21" i="15"/>
  <c r="E43" i="15"/>
  <c r="E35" i="15"/>
  <c r="E50" i="15"/>
  <c r="D43" i="15"/>
  <c r="D35" i="15"/>
  <c r="D50" i="15"/>
  <c r="D23" i="15"/>
  <c r="D73" i="15" s="1"/>
  <c r="E23" i="15"/>
  <c r="E73" i="15" s="1"/>
  <c r="D27" i="15"/>
  <c r="D26" i="15"/>
  <c r="E26" i="15"/>
  <c r="E27" i="15"/>
  <c r="J75" i="15" l="1"/>
  <c r="D110" i="15"/>
  <c r="N75" i="15"/>
  <c r="D111" i="15"/>
  <c r="F75" i="15"/>
  <c r="D109" i="15"/>
  <c r="D90" i="15"/>
  <c r="D89" i="15"/>
  <c r="D88" i="15"/>
  <c r="D81" i="15"/>
  <c r="D103" i="15"/>
  <c r="D82" i="15"/>
  <c r="D104" i="15"/>
  <c r="D102" i="15"/>
  <c r="D80" i="15"/>
  <c r="I23" i="15"/>
  <c r="I73" i="15" s="1"/>
  <c r="I43" i="15"/>
  <c r="I26" i="15"/>
  <c r="I50" i="15"/>
  <c r="I27" i="15"/>
  <c r="I35" i="15"/>
  <c r="H23" i="15"/>
  <c r="H73" i="15" s="1"/>
  <c r="H26" i="15"/>
  <c r="H35" i="15"/>
  <c r="H50" i="15"/>
  <c r="H43" i="15"/>
  <c r="H27" i="15"/>
  <c r="M23" i="15"/>
  <c r="M73" i="15" s="1"/>
  <c r="M27" i="15"/>
  <c r="M29" i="15" s="1"/>
  <c r="M50" i="15"/>
  <c r="M43" i="15"/>
  <c r="M35" i="15"/>
  <c r="L50" i="15"/>
  <c r="L26" i="15"/>
  <c r="L23" i="15"/>
  <c r="L27" i="15"/>
  <c r="L35" i="15"/>
  <c r="L43" i="15"/>
  <c r="D65" i="15"/>
  <c r="D29" i="15"/>
  <c r="D31" i="15" s="1"/>
  <c r="E65" i="15"/>
  <c r="E29" i="15"/>
  <c r="E31" i="15" s="1"/>
  <c r="I65" i="15" l="1"/>
  <c r="I29" i="15"/>
  <c r="I31" i="15" s="1"/>
  <c r="H65" i="15"/>
  <c r="H29" i="15"/>
  <c r="H31" i="15" s="1"/>
  <c r="M31" i="15"/>
  <c r="L29" i="15"/>
  <c r="L31" i="15" s="1"/>
  <c r="M65" i="15"/>
  <c r="L65" i="15"/>
  <c r="L73" i="15"/>
  <c r="D67" i="15"/>
  <c r="D68" i="15" s="1"/>
  <c r="D70" i="15" s="1"/>
  <c r="E67" i="15"/>
  <c r="E68" i="15" s="1"/>
  <c r="H67" i="15" l="1"/>
  <c r="H68" i="15" s="1"/>
  <c r="H70" i="15" s="1"/>
  <c r="H74" i="15" s="1"/>
  <c r="B110" i="15" s="1"/>
  <c r="I67" i="15"/>
  <c r="I68" i="15" s="1"/>
  <c r="I70" i="15" s="1"/>
  <c r="I74" i="15" s="1"/>
  <c r="C110" i="15" s="1"/>
  <c r="L67" i="15"/>
  <c r="L68" i="15" s="1"/>
  <c r="L70" i="15" s="1"/>
  <c r="L74" i="15" s="1"/>
  <c r="B111" i="15" s="1"/>
  <c r="M67" i="15"/>
  <c r="M68" i="15" s="1"/>
  <c r="M70" i="15" s="1"/>
  <c r="M74" i="15" s="1"/>
  <c r="C111" i="15" s="1"/>
  <c r="E70" i="15"/>
  <c r="C90" i="15" l="1"/>
  <c r="C89" i="15"/>
  <c r="B90" i="15"/>
  <c r="B89" i="15"/>
  <c r="I75" i="15"/>
  <c r="L75" i="15"/>
  <c r="H75" i="15"/>
  <c r="M75" i="15"/>
  <c r="E74" i="15"/>
  <c r="C109" i="15" s="1"/>
  <c r="D74" i="15"/>
  <c r="B109" i="15" s="1"/>
  <c r="C104" i="15" l="1"/>
  <c r="B103" i="15"/>
  <c r="B104" i="15"/>
  <c r="C103" i="15"/>
  <c r="C88" i="15"/>
  <c r="B88" i="15"/>
  <c r="C82" i="15"/>
  <c r="B82" i="15"/>
  <c r="C81" i="15"/>
  <c r="D75" i="15"/>
  <c r="E75" i="15"/>
  <c r="B81" i="15"/>
  <c r="K6" i="12"/>
  <c r="J5" i="12"/>
  <c r="J6" i="12" s="1"/>
  <c r="C102" i="15" l="1"/>
  <c r="B102" i="15"/>
  <c r="B80" i="15"/>
  <c r="C80" i="15"/>
  <c r="J8" i="12"/>
  <c r="J9" i="12"/>
  <c r="J10" i="12"/>
  <c r="J12" i="12" l="1"/>
  <c r="J14" i="12"/>
  <c r="J16" i="12" s="1"/>
  <c r="L14" i="12" l="1"/>
  <c r="M14" i="12" s="1"/>
  <c r="F15" i="1"/>
  <c r="N14" i="1"/>
  <c r="J14" i="1"/>
  <c r="F14" i="1"/>
  <c r="J12" i="1"/>
  <c r="J15" i="1" s="1"/>
  <c r="I12" i="1"/>
  <c r="M12" i="1" s="1"/>
  <c r="M15" i="1" s="1"/>
  <c r="E15" i="1"/>
  <c r="D15" i="1"/>
  <c r="M14" i="1"/>
  <c r="I14" i="1"/>
  <c r="E14" i="1"/>
  <c r="D14" i="1"/>
  <c r="L14" i="1"/>
  <c r="H14" i="1"/>
  <c r="H12" i="1"/>
  <c r="H15" i="1" s="1"/>
  <c r="I15" i="1" l="1"/>
  <c r="I18" i="1" s="1"/>
  <c r="J18" i="1"/>
  <c r="N12" i="1"/>
  <c r="F18" i="1"/>
  <c r="E18" i="1"/>
  <c r="L12" i="1"/>
  <c r="D18" i="1"/>
  <c r="H18" i="1"/>
  <c r="N15" i="1" l="1"/>
  <c r="N18" i="1" s="1"/>
  <c r="L15" i="1"/>
  <c r="M18" i="1" l="1"/>
  <c r="L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GehSuites</author>
  </authors>
  <commentList>
    <comment ref="E5" authorId="0" shapeId="0" xr:uid="{90E7F00C-C0B0-49AE-8822-67E98826900A}">
      <text>
        <r>
          <rPr>
            <b/>
            <sz val="9"/>
            <color indexed="81"/>
            <rFont val="Tahoma"/>
            <charset val="1"/>
          </rPr>
          <t>GehSuites:</t>
        </r>
        <r>
          <rPr>
            <sz val="9"/>
            <color indexed="81"/>
            <rFont val="Tahoma"/>
            <charset val="1"/>
          </rPr>
          <t xml:space="preserve">
Incremento aplicado en cadena entre tipologías (A&amp;B→C→D→E) dentro de cada escenario</t>
        </r>
      </text>
    </comment>
    <comment ref="E6" authorId="0" shapeId="0" xr:uid="{BC9B7B2E-BAF3-44CC-BBC7-B5FFE6B25C8E}">
      <text>
        <r>
          <rPr>
            <b/>
            <sz val="9"/>
            <color indexed="81"/>
            <rFont val="Tahoma"/>
            <charset val="1"/>
          </rPr>
          <t>GehSuites:</t>
        </r>
        <r>
          <rPr>
            <sz val="9"/>
            <color indexed="81"/>
            <rFont val="Tahoma"/>
            <charset val="1"/>
          </rPr>
          <t xml:space="preserve">
Incremento sobre la base Pesimista Casa A&amp;B ($18.876.000)</t>
        </r>
      </text>
    </comment>
    <comment ref="E7" authorId="0" shapeId="0" xr:uid="{FF64F94C-5AEB-4167-9120-1759C3B3EC5C}">
      <text>
        <r>
          <rPr>
            <b/>
            <sz val="9"/>
            <color indexed="81"/>
            <rFont val="Tahoma"/>
            <charset val="1"/>
          </rPr>
          <t>GehSuites:</t>
        </r>
        <r>
          <rPr>
            <sz val="9"/>
            <color indexed="81"/>
            <rFont val="Tahoma"/>
            <charset val="1"/>
          </rPr>
          <t xml:space="preserve">
Incremento sobre la base Pesimista Casa A&amp;B ($18.876.000)</t>
        </r>
      </text>
    </comment>
    <comment ref="A2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Smart Stay:</t>
        </r>
        <r>
          <rPr>
            <sz val="9"/>
            <color indexed="81"/>
            <rFont val="Tahoma"/>
            <family val="2"/>
          </rPr>
          <t xml:space="preserve">
Booking, Arbn , Expedia, Price, hotel beds , beds day, omnibies, despegar en total pueden ser 15 canales </t>
        </r>
      </text>
    </comment>
    <comment ref="A2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Smart : </t>
        </r>
        <r>
          <rPr>
            <sz val="9"/>
            <color indexed="81"/>
            <rFont val="Tahoma"/>
            <family val="2"/>
          </rPr>
          <t xml:space="preserve">Fondo y ahorro de mantenimiento y reparaciones 
</t>
        </r>
      </text>
    </comment>
    <comment ref="B61" authorId="0" shapeId="0" xr:uid="{DF579DDE-3E8F-4185-B94D-C6E612F93309}">
      <text>
        <r>
          <rPr>
            <b/>
            <sz val="9"/>
            <color indexed="81"/>
            <rFont val="Tahoma"/>
            <charset val="1"/>
          </rPr>
          <t>GehSuites:</t>
        </r>
        <r>
          <rPr>
            <sz val="9"/>
            <color indexed="81"/>
            <rFont val="Tahoma"/>
            <charset val="1"/>
          </rPr>
          <t xml:space="preserve">
Tasa de predial anual estimada (0.6% del valor catastral) — supuesto editable, ajusta según el avaluó y municipio</t>
        </r>
      </text>
    </comment>
    <comment ref="B95" authorId="0" shapeId="0" xr:uid="{38E5C836-9F76-4FEB-9CF9-0EB57F06BC53}">
      <text>
        <r>
          <rPr>
            <b/>
            <sz val="9"/>
            <color indexed="81"/>
            <rFont val="Tahoma"/>
            <family val="2"/>
          </rPr>
          <t>GehSuites:</t>
        </r>
        <r>
          <rPr>
            <sz val="9"/>
            <color indexed="81"/>
            <rFont val="Tahoma"/>
            <family val="2"/>
          </rPr>
          <t xml:space="preserve">
Valor estimado — reemplazar con el valor real de venta de la Casa-A</t>
        </r>
      </text>
    </comment>
    <comment ref="C95" authorId="0" shapeId="0" xr:uid="{BC9A4634-CC07-426A-8950-9161CF3468F2}">
      <text>
        <r>
          <rPr>
            <b/>
            <sz val="9"/>
            <color indexed="81"/>
            <rFont val="Tahoma"/>
            <family val="2"/>
          </rPr>
          <t>GehSuites:</t>
        </r>
        <r>
          <rPr>
            <sz val="9"/>
            <color indexed="81"/>
            <rFont val="Tahoma"/>
            <family val="2"/>
          </rPr>
          <t xml:space="preserve">
Valor estimado — reemplazar con el valor real de venta de la Casa-B</t>
        </r>
      </text>
    </comment>
    <comment ref="D95" authorId="0" shapeId="0" xr:uid="{9739F99F-E48C-46A6-B0C3-36B94ABF5CF1}">
      <text>
        <r>
          <rPr>
            <b/>
            <sz val="9"/>
            <color indexed="81"/>
            <rFont val="Tahoma"/>
            <family val="2"/>
          </rPr>
          <t>GehSuites:</t>
        </r>
        <r>
          <rPr>
            <sz val="9"/>
            <color indexed="81"/>
            <rFont val="Tahoma"/>
            <family val="2"/>
          </rPr>
          <t xml:space="preserve">
Valor estimado — reemplazar con el valor real de venta de la Casa-C</t>
        </r>
      </text>
    </comment>
  </commentList>
</comments>
</file>

<file path=xl/sharedStrings.xml><?xml version="1.0" encoding="utf-8"?>
<sst xmlns="http://schemas.openxmlformats.org/spreadsheetml/2006/main" count="159" uniqueCount="113">
  <si>
    <t xml:space="preserve">Total Ventas Brutas </t>
  </si>
  <si>
    <t xml:space="preserve"> </t>
  </si>
  <si>
    <t xml:space="preserve">Intereses Bancarios </t>
  </si>
  <si>
    <t xml:space="preserve">Datafonos </t>
  </si>
  <si>
    <t xml:space="preserve">Sunno Blue </t>
  </si>
  <si>
    <t xml:space="preserve">Año 1 </t>
  </si>
  <si>
    <t>Año 2</t>
  </si>
  <si>
    <t>Año 3</t>
  </si>
  <si>
    <t xml:space="preserve">Dias en el Año : </t>
  </si>
  <si>
    <t xml:space="preserve">Dias </t>
  </si>
  <si>
    <t>Tarifa Promedio ( ADR )  :</t>
  </si>
  <si>
    <t>Cop</t>
  </si>
  <si>
    <t>Fee Mensual o Cargo fijo :</t>
  </si>
  <si>
    <t xml:space="preserve">Mensual </t>
  </si>
  <si>
    <t>Unidades Productivas :</t>
  </si>
  <si>
    <t xml:space="preserve">Casas </t>
  </si>
  <si>
    <t xml:space="preserve">Ocupacion Estimada  x Año </t>
  </si>
  <si>
    <t xml:space="preserve">DESCRIPCION </t>
  </si>
  <si>
    <t xml:space="preserve">Fee Mensual o Cargo Fijo </t>
  </si>
  <si>
    <t xml:space="preserve">Ingresos x Hospedaje </t>
  </si>
  <si>
    <t xml:space="preserve">Tipos de Escenarios </t>
  </si>
  <si>
    <t xml:space="preserve">Otras Ingresos </t>
  </si>
  <si>
    <t>ADR o Tarifa promedio  ( Crecimiento 5% x Año )</t>
  </si>
  <si>
    <t xml:space="preserve">Proyeccion Anual  (  1 a 3 Años ) </t>
  </si>
  <si>
    <t>Pesimista</t>
  </si>
  <si>
    <t xml:space="preserve">Moderado </t>
  </si>
  <si>
    <t xml:space="preserve">Optimista </t>
  </si>
  <si>
    <t xml:space="preserve">COSTOS DE VENTAS </t>
  </si>
  <si>
    <t xml:space="preserve">TOTAL COSTO DE VENTAS </t>
  </si>
  <si>
    <t xml:space="preserve">INGRESOS </t>
  </si>
  <si>
    <t xml:space="preserve">UTILIDAD  BRUTA </t>
  </si>
  <si>
    <t xml:space="preserve">TOTAL GASTOS DE OPERACIÓN </t>
  </si>
  <si>
    <t xml:space="preserve">GASTOS  FINANCIEROS </t>
  </si>
  <si>
    <t xml:space="preserve">UTILIDAD OPERACIONAL </t>
  </si>
  <si>
    <t xml:space="preserve">Impuesto de  renta y complementario </t>
  </si>
  <si>
    <t xml:space="preserve">GEH Suites Comision sobre Utilidades </t>
  </si>
  <si>
    <t>dias</t>
  </si>
  <si>
    <t xml:space="preserve">tarifa </t>
  </si>
  <si>
    <t>oper</t>
  </si>
  <si>
    <t xml:space="preserve">comision </t>
  </si>
  <si>
    <t xml:space="preserve">gastos </t>
  </si>
  <si>
    <t xml:space="preserve">oper geh </t>
  </si>
  <si>
    <t>fee</t>
  </si>
  <si>
    <t xml:space="preserve">Agua </t>
  </si>
  <si>
    <t xml:space="preserve">Luz </t>
  </si>
  <si>
    <t xml:space="preserve">Gas </t>
  </si>
  <si>
    <t xml:space="preserve">GASTOS DE SERVICIOS </t>
  </si>
  <si>
    <t>GASTOS  DE OPERACIÓN SMART STAY</t>
  </si>
  <si>
    <t xml:space="preserve">ADR o Tarifa promedio  </t>
  </si>
  <si>
    <t xml:space="preserve">Comision On lIne </t>
  </si>
  <si>
    <t>(15 %  - 18%)</t>
  </si>
  <si>
    <t xml:space="preserve">FARA - Fondo Ahorro </t>
  </si>
  <si>
    <t xml:space="preserve">Insumos de Aseo </t>
  </si>
  <si>
    <t>Amenities para baños</t>
  </si>
  <si>
    <t xml:space="preserve">Cristaleria </t>
  </si>
  <si>
    <t xml:space="preserve">Lenceria </t>
  </si>
  <si>
    <t xml:space="preserve">Lavanderia de lenceria </t>
  </si>
  <si>
    <t>GASTOS DE MANTENIMIENTOS</t>
  </si>
  <si>
    <t xml:space="preserve">Mantenimientos preventivos </t>
  </si>
  <si>
    <t xml:space="preserve">Reparaciones Aire y Otros </t>
  </si>
  <si>
    <t xml:space="preserve">Jardinerias </t>
  </si>
  <si>
    <t xml:space="preserve">Materiales para reparacion </t>
  </si>
  <si>
    <t>GASTOS ASEO  - AMENITIES - CRISTALERIA</t>
  </si>
  <si>
    <t>Proyección Mensual por Casa  ( 3 Escenarios x 3 Tipologías )</t>
  </si>
  <si>
    <t>Ocupación Estimada Mensual</t>
  </si>
  <si>
    <t>( ADR x Días del Mes x Ocupación )</t>
  </si>
  <si>
    <t xml:space="preserve">Casa 1 </t>
  </si>
  <si>
    <t>107 mts</t>
  </si>
  <si>
    <t>Casa 2</t>
  </si>
  <si>
    <t xml:space="preserve">120 mts </t>
  </si>
  <si>
    <t xml:space="preserve">Días en el Año a Vender </t>
  </si>
  <si>
    <t xml:space="preserve">Dias del Propietario para gozar </t>
  </si>
  <si>
    <t xml:space="preserve">30 a 35 dias </t>
  </si>
  <si>
    <t xml:space="preserve">Internet y Cable </t>
  </si>
  <si>
    <t xml:space="preserve">RESULTADO  DEL EJERCICIO / AÑO </t>
  </si>
  <si>
    <t>UTILIDAD O PERDIDA NETA / AÑO</t>
  </si>
  <si>
    <t>UTILIDAD O PERDIDA NETA / MES</t>
  </si>
  <si>
    <t>RESUMEN: INGRESO MENSUAL DEL PROPIETARIO</t>
  </si>
  <si>
    <t>Escenario</t>
  </si>
  <si>
    <t>Conservador</t>
  </si>
  <si>
    <t>Optimista</t>
  </si>
  <si>
    <t>PESIMISTA / Año</t>
  </si>
  <si>
    <t xml:space="preserve">CONSERVADOR / Año </t>
  </si>
  <si>
    <t>OPTIMISTA / Año</t>
  </si>
  <si>
    <t>Valor de la Casa (COP)</t>
  </si>
  <si>
    <t>(2 %  - 5%)</t>
  </si>
  <si>
    <t>Rentabilidad Mensual ( % )</t>
  </si>
  <si>
    <t>Rentabilidad Anual ( % )</t>
  </si>
  <si>
    <t xml:space="preserve">TIPOS DE CASAS / ESCENARIOS </t>
  </si>
  <si>
    <t>UTILIDAD NETA DEL PROPIETARIO — SOLO RENTA CORTA (sin valorización, sin días de gracia)</t>
  </si>
  <si>
    <t>Utilidad Anual (COP)</t>
  </si>
  <si>
    <t>VALOR DE LA PROPIEDAD</t>
  </si>
  <si>
    <t>RENTABILIDAD DEL PROPIETARIO — SOLO RENTA CORTA ( % )</t>
  </si>
  <si>
    <t>Casa - C</t>
  </si>
  <si>
    <t>Precio Propiedad   Casa - D</t>
  </si>
  <si>
    <t xml:space="preserve">Tarifa Promedio ( ADR )  Casa A y B </t>
  </si>
  <si>
    <t xml:space="preserve">Tarifa Promedio ( ADR )  Casa C </t>
  </si>
  <si>
    <t>Tarifa Promedio ( ADR )  Casa D</t>
  </si>
  <si>
    <t xml:space="preserve">Casa - A y B </t>
  </si>
  <si>
    <t>Casa - D</t>
  </si>
  <si>
    <t xml:space="preserve">Precio Propiedad   Casa - A y B </t>
  </si>
  <si>
    <t>Precio Propiedad   Casa - C</t>
  </si>
  <si>
    <t>DETALLE</t>
  </si>
  <si>
    <t xml:space="preserve">Alcobas ( 2 ) y Baño </t>
  </si>
  <si>
    <t xml:space="preserve">Alcobas  ( 3 ) , Baños ( 2 ) </t>
  </si>
  <si>
    <t xml:space="preserve">SUNNO BLUE </t>
  </si>
  <si>
    <t xml:space="preserve">OTROS GASTOS </t>
  </si>
  <si>
    <t xml:space="preserve">Predial </t>
  </si>
  <si>
    <t xml:space="preserve">Seguros </t>
  </si>
  <si>
    <t>SUPUESTOS INCREMENTO SERVICIOS</t>
  </si>
  <si>
    <t>Incre Escenario Optimista:</t>
  </si>
  <si>
    <t>Incre  Escenario Conservador:</t>
  </si>
  <si>
    <t>Incre por Tipología (c/u):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</si>
</sst>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b/>
      <sz val="11"/>
      <color rgb="FFED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0"/>
      <color theme="4" tint="-0.499984740745262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9476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9E6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8">
    <xf numFmtId="0" fontId="0" fillId="0" borderId="0" xfId="0"/>
    <xf numFmtId="0" fontId="4" fillId="0" borderId="0" xfId="0" applyFont="1" applyAlignment="1">
      <alignment horizontal="left"/>
    </xf>
    <xf numFmtId="9" fontId="9" fillId="2" borderId="1" xfId="0" applyNumberFormat="1" applyFont="1" applyFill="1" applyBorder="1" applyAlignment="1">
      <alignment horizontal="center"/>
    </xf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164" fontId="8" fillId="0" borderId="19" xfId="1" applyNumberFormat="1" applyFont="1" applyBorder="1"/>
    <xf numFmtId="164" fontId="8" fillId="0" borderId="20" xfId="1" applyNumberFormat="1" applyFont="1" applyBorder="1"/>
    <xf numFmtId="164" fontId="8" fillId="0" borderId="15" xfId="1" applyNumberFormat="1" applyFont="1" applyBorder="1"/>
    <xf numFmtId="164" fontId="8" fillId="0" borderId="14" xfId="1" applyNumberFormat="1" applyFont="1" applyBorder="1"/>
    <xf numFmtId="164" fontId="8" fillId="0" borderId="17" xfId="1" applyNumberFormat="1" applyFont="1" applyBorder="1"/>
    <xf numFmtId="164" fontId="1" fillId="0" borderId="15" xfId="1" applyNumberFormat="1" applyFont="1" applyBorder="1"/>
    <xf numFmtId="164" fontId="1" fillId="0" borderId="14" xfId="1" applyNumberFormat="1" applyFont="1" applyBorder="1"/>
    <xf numFmtId="164" fontId="1" fillId="0" borderId="17" xfId="1" applyNumberFormat="1" applyFont="1" applyBorder="1"/>
    <xf numFmtId="164" fontId="1" fillId="0" borderId="18" xfId="1" applyNumberFormat="1" applyFont="1" applyBorder="1"/>
    <xf numFmtId="164" fontId="9" fillId="2" borderId="2" xfId="1" applyNumberFormat="1" applyFont="1" applyFill="1" applyBorder="1" applyAlignment="1">
      <alignment horizontal="center"/>
    </xf>
    <xf numFmtId="164" fontId="9" fillId="2" borderId="1" xfId="1" applyNumberFormat="1" applyFont="1" applyFill="1" applyBorder="1"/>
    <xf numFmtId="0" fontId="8" fillId="0" borderId="3" xfId="0" applyFont="1" applyBorder="1"/>
    <xf numFmtId="0" fontId="8" fillId="0" borderId="2" xfId="0" applyFont="1" applyBorder="1"/>
    <xf numFmtId="164" fontId="7" fillId="2" borderId="1" xfId="1" applyNumberFormat="1" applyFont="1" applyFill="1" applyBorder="1"/>
    <xf numFmtId="0" fontId="3" fillId="0" borderId="2" xfId="0" applyFont="1" applyBorder="1" applyAlignment="1">
      <alignment horizontal="left"/>
    </xf>
    <xf numFmtId="0" fontId="0" fillId="0" borderId="2" xfId="0" applyBorder="1" applyAlignment="1">
      <alignment horizontal="center"/>
    </xf>
    <xf numFmtId="164" fontId="0" fillId="0" borderId="2" xfId="1" applyNumberFormat="1" applyFont="1" applyBorder="1" applyAlignment="1"/>
    <xf numFmtId="164" fontId="0" fillId="0" borderId="2" xfId="1" applyNumberFormat="1" applyFont="1" applyBorder="1"/>
    <xf numFmtId="164" fontId="9" fillId="3" borderId="1" xfId="1" applyNumberFormat="1" applyFont="1" applyFill="1" applyBorder="1"/>
    <xf numFmtId="164" fontId="7" fillId="3" borderId="1" xfId="1" applyNumberFormat="1" applyFont="1" applyFill="1" applyBorder="1"/>
    <xf numFmtId="164" fontId="7" fillId="3" borderId="3" xfId="1" applyNumberFormat="1" applyFont="1" applyFill="1" applyBorder="1"/>
    <xf numFmtId="9" fontId="9" fillId="3" borderId="1" xfId="0" applyNumberFormat="1" applyFont="1" applyFill="1" applyBorder="1" applyAlignment="1">
      <alignment horizontal="center"/>
    </xf>
    <xf numFmtId="9" fontId="9" fillId="3" borderId="4" xfId="0" applyNumberFormat="1" applyFont="1" applyFill="1" applyBorder="1" applyAlignment="1">
      <alignment horizontal="center"/>
    </xf>
    <xf numFmtId="164" fontId="9" fillId="3" borderId="2" xfId="1" applyNumberFormat="1" applyFont="1" applyFill="1" applyBorder="1" applyAlignment="1">
      <alignment horizontal="center"/>
    </xf>
    <xf numFmtId="9" fontId="9" fillId="4" borderId="1" xfId="0" applyNumberFormat="1" applyFont="1" applyFill="1" applyBorder="1" applyAlignment="1">
      <alignment horizontal="center"/>
    </xf>
    <xf numFmtId="9" fontId="9" fillId="4" borderId="4" xfId="0" applyNumberFormat="1" applyFont="1" applyFill="1" applyBorder="1" applyAlignment="1">
      <alignment horizontal="center"/>
    </xf>
    <xf numFmtId="164" fontId="9" fillId="4" borderId="1" xfId="1" applyNumberFormat="1" applyFont="1" applyFill="1" applyBorder="1"/>
    <xf numFmtId="164" fontId="9" fillId="4" borderId="1" xfId="1" applyNumberFormat="1" applyFont="1" applyFill="1" applyBorder="1" applyAlignment="1">
      <alignment horizontal="center"/>
    </xf>
    <xf numFmtId="164" fontId="7" fillId="4" borderId="1" xfId="1" applyNumberFormat="1" applyFont="1" applyFill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9" fontId="9" fillId="0" borderId="0" xfId="0" applyNumberFormat="1" applyFont="1" applyAlignment="1">
      <alignment horizontal="center"/>
    </xf>
    <xf numFmtId="164" fontId="9" fillId="0" borderId="0" xfId="1" applyNumberFormat="1" applyFont="1" applyFill="1" applyBorder="1" applyAlignment="1">
      <alignment horizontal="center"/>
    </xf>
    <xf numFmtId="164" fontId="8" fillId="0" borderId="0" xfId="1" applyNumberFormat="1" applyFont="1" applyFill="1" applyBorder="1"/>
    <xf numFmtId="164" fontId="1" fillId="0" borderId="0" xfId="1" applyNumberFormat="1" applyFont="1" applyFill="1" applyBorder="1"/>
    <xf numFmtId="164" fontId="7" fillId="0" borderId="0" xfId="1" applyNumberFormat="1" applyFont="1" applyFill="1" applyBorder="1"/>
    <xf numFmtId="0" fontId="2" fillId="0" borderId="0" xfId="0" applyFont="1"/>
    <xf numFmtId="164" fontId="9" fillId="0" borderId="0" xfId="1" applyNumberFormat="1" applyFont="1" applyFill="1" applyBorder="1"/>
    <xf numFmtId="0" fontId="1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8" fillId="0" borderId="1" xfId="0" applyFont="1" applyBorder="1"/>
    <xf numFmtId="9" fontId="9" fillId="3" borderId="3" xfId="0" applyNumberFormat="1" applyFont="1" applyFill="1" applyBorder="1" applyAlignment="1">
      <alignment horizontal="center"/>
    </xf>
    <xf numFmtId="164" fontId="9" fillId="3" borderId="3" xfId="1" applyNumberFormat="1" applyFont="1" applyFill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2" borderId="3" xfId="0" applyFill="1" applyBorder="1"/>
    <xf numFmtId="0" fontId="2" fillId="2" borderId="2" xfId="0" applyFont="1" applyFill="1" applyBorder="1"/>
    <xf numFmtId="164" fontId="9" fillId="2" borderId="1" xfId="0" applyNumberFormat="1" applyFont="1" applyFill="1" applyBorder="1"/>
    <xf numFmtId="0" fontId="8" fillId="0" borderId="16" xfId="0" applyFont="1" applyBorder="1"/>
    <xf numFmtId="164" fontId="8" fillId="0" borderId="16" xfId="1" applyNumberFormat="1" applyFont="1" applyBorder="1"/>
    <xf numFmtId="0" fontId="6" fillId="2" borderId="2" xfId="0" applyFont="1" applyFill="1" applyBorder="1"/>
    <xf numFmtId="0" fontId="6" fillId="2" borderId="3" xfId="0" applyFont="1" applyFill="1" applyBorder="1"/>
    <xf numFmtId="0" fontId="0" fillId="0" borderId="6" xfId="0" applyBorder="1"/>
    <xf numFmtId="9" fontId="2" fillId="0" borderId="0" xfId="0" applyNumberFormat="1" applyFont="1" applyAlignment="1">
      <alignment horizontal="center"/>
    </xf>
    <xf numFmtId="0" fontId="2" fillId="0" borderId="6" xfId="0" applyFont="1" applyBorder="1"/>
    <xf numFmtId="165" fontId="2" fillId="0" borderId="0" xfId="0" applyNumberFormat="1" applyFont="1" applyAlignment="1">
      <alignment horizontal="center"/>
    </xf>
    <xf numFmtId="164" fontId="0" fillId="0" borderId="0" xfId="1" applyNumberFormat="1" applyFont="1"/>
    <xf numFmtId="164" fontId="0" fillId="0" borderId="0" xfId="0" applyNumberFormat="1"/>
    <xf numFmtId="9" fontId="0" fillId="0" borderId="0" xfId="0" applyNumberFormat="1"/>
    <xf numFmtId="9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64" fontId="2" fillId="5" borderId="0" xfId="1" applyNumberFormat="1" applyFont="1" applyFill="1"/>
    <xf numFmtId="164" fontId="9" fillId="2" borderId="1" xfId="1" applyNumberFormat="1" applyFont="1" applyFill="1" applyBorder="1" applyAlignment="1"/>
    <xf numFmtId="0" fontId="3" fillId="0" borderId="6" xfId="0" applyFont="1" applyBorder="1"/>
    <xf numFmtId="0" fontId="0" fillId="0" borderId="0" xfId="0" applyAlignment="1">
      <alignment horizontal="center"/>
    </xf>
    <xf numFmtId="164" fontId="0" fillId="0" borderId="0" xfId="1" applyNumberFormat="1" applyFont="1" applyBorder="1" applyAlignment="1">
      <alignment horizontal="center"/>
    </xf>
    <xf numFmtId="165" fontId="2" fillId="0" borderId="0" xfId="1" applyNumberFormat="1" applyFont="1" applyBorder="1" applyAlignment="1">
      <alignment horizontal="center"/>
    </xf>
    <xf numFmtId="164" fontId="0" fillId="0" borderId="0" xfId="1" applyNumberFormat="1" applyFont="1" applyFill="1" applyBorder="1" applyAlignment="1">
      <alignment horizontal="center"/>
    </xf>
    <xf numFmtId="164" fontId="7" fillId="2" borderId="25" xfId="1" applyNumberFormat="1" applyFont="1" applyFill="1" applyBorder="1"/>
    <xf numFmtId="164" fontId="9" fillId="2" borderId="26" xfId="0" applyNumberFormat="1" applyFont="1" applyFill="1" applyBorder="1"/>
    <xf numFmtId="0" fontId="0" fillId="0" borderId="25" xfId="0" applyBorder="1"/>
    <xf numFmtId="164" fontId="8" fillId="0" borderId="26" xfId="1" applyNumberFormat="1" applyFont="1" applyBorder="1"/>
    <xf numFmtId="0" fontId="0" fillId="0" borderId="16" xfId="0" applyBorder="1"/>
    <xf numFmtId="164" fontId="0" fillId="0" borderId="16" xfId="1" applyNumberFormat="1" applyFont="1" applyBorder="1"/>
    <xf numFmtId="0" fontId="0" fillId="0" borderId="26" xfId="0" applyBorder="1"/>
    <xf numFmtId="164" fontId="2" fillId="2" borderId="1" xfId="0" applyNumberFormat="1" applyFont="1" applyFill="1" applyBorder="1"/>
    <xf numFmtId="164" fontId="0" fillId="0" borderId="16" xfId="0" applyNumberFormat="1" applyBorder="1"/>
    <xf numFmtId="164" fontId="2" fillId="2" borderId="26" xfId="0" applyNumberFormat="1" applyFont="1" applyFill="1" applyBorder="1"/>
    <xf numFmtId="164" fontId="12" fillId="0" borderId="16" xfId="1" applyNumberFormat="1" applyFont="1" applyBorder="1"/>
    <xf numFmtId="0" fontId="12" fillId="0" borderId="26" xfId="0" applyFont="1" applyBorder="1"/>
    <xf numFmtId="0" fontId="0" fillId="0" borderId="2" xfId="0" applyBorder="1" applyAlignment="1">
      <alignment horizontal="right"/>
    </xf>
    <xf numFmtId="0" fontId="9" fillId="0" borderId="1" xfId="0" applyFont="1" applyBorder="1" applyAlignment="1">
      <alignment horizont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2" borderId="22" xfId="0" applyFont="1" applyFill="1" applyBorder="1" applyAlignment="1">
      <alignment horizontal="left"/>
    </xf>
    <xf numFmtId="0" fontId="4" fillId="2" borderId="23" xfId="0" applyFont="1" applyFill="1" applyBorder="1" applyAlignment="1">
      <alignment horizontal="left"/>
    </xf>
    <xf numFmtId="0" fontId="4" fillId="2" borderId="24" xfId="0" applyFont="1" applyFill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8" fillId="0" borderId="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7" fillId="2" borderId="22" xfId="0" applyFont="1" applyFill="1" applyBorder="1" applyAlignment="1">
      <alignment horizontal="left"/>
    </xf>
    <xf numFmtId="0" fontId="7" fillId="2" borderId="23" xfId="0" applyFont="1" applyFill="1" applyBorder="1" applyAlignment="1">
      <alignment horizontal="left"/>
    </xf>
    <xf numFmtId="0" fontId="7" fillId="2" borderId="24" xfId="0" applyFont="1" applyFill="1" applyBorder="1" applyAlignment="1">
      <alignment horizontal="left"/>
    </xf>
    <xf numFmtId="0" fontId="9" fillId="0" borderId="21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7" fillId="0" borderId="9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164" fontId="17" fillId="0" borderId="2" xfId="1" applyNumberFormat="1" applyFont="1" applyBorder="1" applyAlignment="1">
      <alignment horizontal="right"/>
    </xf>
    <xf numFmtId="0" fontId="9" fillId="6" borderId="30" xfId="0" applyFont="1" applyFill="1" applyBorder="1" applyAlignment="1">
      <alignment horizontal="center"/>
    </xf>
    <xf numFmtId="9" fontId="20" fillId="2" borderId="1" xfId="0" applyNumberFormat="1" applyFont="1" applyFill="1" applyBorder="1" applyAlignment="1">
      <alignment horizontal="center"/>
    </xf>
    <xf numFmtId="0" fontId="0" fillId="0" borderId="0" xfId="0" applyFill="1"/>
    <xf numFmtId="0" fontId="9" fillId="0" borderId="0" xfId="0" applyFont="1" applyFill="1" applyBorder="1"/>
    <xf numFmtId="164" fontId="19" fillId="0" borderId="0" xfId="0" applyNumberFormat="1" applyFont="1" applyFill="1" applyBorder="1"/>
    <xf numFmtId="0" fontId="9" fillId="0" borderId="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9" fontId="20" fillId="2" borderId="2" xfId="0" applyNumberFormat="1" applyFont="1" applyFill="1" applyBorder="1" applyAlignment="1">
      <alignment horizontal="center"/>
    </xf>
    <xf numFmtId="164" fontId="9" fillId="2" borderId="2" xfId="1" applyNumberFormat="1" applyFont="1" applyFill="1" applyBorder="1" applyAlignment="1"/>
    <xf numFmtId="0" fontId="8" fillId="0" borderId="6" xfId="0" applyFont="1" applyBorder="1"/>
    <xf numFmtId="164" fontId="8" fillId="0" borderId="6" xfId="1" applyNumberFormat="1" applyFont="1" applyBorder="1"/>
    <xf numFmtId="164" fontId="7" fillId="2" borderId="8" xfId="1" applyNumberFormat="1" applyFont="1" applyFill="1" applyBorder="1"/>
    <xf numFmtId="0" fontId="0" fillId="0" borderId="8" xfId="0" applyBorder="1"/>
    <xf numFmtId="164" fontId="8" fillId="0" borderId="45" xfId="1" applyNumberFormat="1" applyFont="1" applyBorder="1"/>
    <xf numFmtId="164" fontId="9" fillId="2" borderId="45" xfId="0" applyNumberFormat="1" applyFont="1" applyFill="1" applyBorder="1"/>
    <xf numFmtId="164" fontId="0" fillId="0" borderId="6" xfId="1" applyNumberFormat="1" applyFont="1" applyBorder="1"/>
    <xf numFmtId="164" fontId="0" fillId="0" borderId="6" xfId="0" applyNumberFormat="1" applyBorder="1"/>
    <xf numFmtId="0" fontId="0" fillId="0" borderId="45" xfId="0" applyBorder="1"/>
    <xf numFmtId="164" fontId="2" fillId="2" borderId="45" xfId="0" applyNumberFormat="1" applyFont="1" applyFill="1" applyBorder="1"/>
    <xf numFmtId="164" fontId="9" fillId="2" borderId="2" xfId="0" applyNumberFormat="1" applyFont="1" applyFill="1" applyBorder="1"/>
    <xf numFmtId="0" fontId="0" fillId="0" borderId="0" xfId="0" applyFill="1" applyBorder="1"/>
    <xf numFmtId="0" fontId="16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9" fontId="20" fillId="0" borderId="0" xfId="0" applyNumberFormat="1" applyFont="1" applyFill="1" applyBorder="1" applyAlignment="1">
      <alignment horizontal="center"/>
    </xf>
    <xf numFmtId="164" fontId="9" fillId="0" borderId="0" xfId="1" applyNumberFormat="1" applyFont="1" applyFill="1" applyBorder="1" applyAlignment="1"/>
    <xf numFmtId="0" fontId="8" fillId="0" borderId="0" xfId="0" applyFont="1" applyFill="1" applyBorder="1"/>
    <xf numFmtId="164" fontId="9" fillId="0" borderId="0" xfId="0" applyNumberFormat="1" applyFont="1" applyFill="1" applyBorder="1"/>
    <xf numFmtId="164" fontId="0" fillId="0" borderId="0" xfId="1" applyNumberFormat="1" applyFont="1" applyFill="1" applyBorder="1"/>
    <xf numFmtId="164" fontId="0" fillId="0" borderId="0" xfId="0" applyNumberFormat="1" applyFill="1" applyBorder="1"/>
    <xf numFmtId="164" fontId="2" fillId="0" borderId="0" xfId="0" applyNumberFormat="1" applyFont="1" applyFill="1" applyBorder="1"/>
    <xf numFmtId="0" fontId="3" fillId="0" borderId="0" xfId="0" applyFont="1" applyBorder="1" applyAlignment="1">
      <alignment horizontal="left"/>
    </xf>
    <xf numFmtId="164" fontId="23" fillId="0" borderId="0" xfId="1" applyNumberFormat="1" applyFont="1" applyBorder="1" applyAlignment="1">
      <alignment horizontal="center"/>
    </xf>
    <xf numFmtId="0" fontId="2" fillId="0" borderId="36" xfId="0" applyFont="1" applyBorder="1"/>
    <xf numFmtId="0" fontId="2" fillId="0" borderId="38" xfId="0" applyFont="1" applyBorder="1"/>
    <xf numFmtId="0" fontId="9" fillId="6" borderId="41" xfId="0" applyFont="1" applyFill="1" applyBorder="1" applyAlignment="1">
      <alignment horizontal="center"/>
    </xf>
    <xf numFmtId="0" fontId="2" fillId="6" borderId="35" xfId="0" applyFont="1" applyFill="1" applyBorder="1" applyAlignment="1">
      <alignment horizontal="center"/>
    </xf>
    <xf numFmtId="10" fontId="2" fillId="0" borderId="30" xfId="0" applyNumberFormat="1" applyFont="1" applyBorder="1" applyAlignment="1">
      <alignment horizontal="center"/>
    </xf>
    <xf numFmtId="164" fontId="2" fillId="0" borderId="55" xfId="0" applyNumberFormat="1" applyFont="1" applyBorder="1"/>
    <xf numFmtId="164" fontId="2" fillId="0" borderId="56" xfId="0" applyNumberFormat="1" applyFont="1" applyBorder="1"/>
    <xf numFmtId="164" fontId="2" fillId="0" borderId="57" xfId="0" applyNumberFormat="1" applyFont="1" applyBorder="1"/>
    <xf numFmtId="0" fontId="24" fillId="7" borderId="0" xfId="0" applyFont="1" applyFill="1" applyAlignment="1">
      <alignment horizontal="center"/>
    </xf>
    <xf numFmtId="0" fontId="25" fillId="7" borderId="0" xfId="0" applyFont="1" applyFill="1" applyAlignment="1">
      <alignment horizontal="center"/>
    </xf>
    <xf numFmtId="0" fontId="15" fillId="7" borderId="2" xfId="0" applyFont="1" applyFill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30" fillId="0" borderId="0" xfId="0" applyFont="1" applyFill="1" applyBorder="1" applyAlignment="1"/>
    <xf numFmtId="0" fontId="2" fillId="6" borderId="34" xfId="0" applyFont="1" applyFill="1" applyBorder="1" applyAlignment="1">
      <alignment horizontal="center"/>
    </xf>
    <xf numFmtId="0" fontId="2" fillId="0" borderId="28" xfId="0" applyFont="1" applyBorder="1"/>
    <xf numFmtId="164" fontId="2" fillId="0" borderId="62" xfId="0" applyNumberFormat="1" applyFont="1" applyBorder="1"/>
    <xf numFmtId="10" fontId="2" fillId="0" borderId="52" xfId="0" applyNumberFormat="1" applyFont="1" applyBorder="1" applyAlignment="1">
      <alignment horizontal="center"/>
    </xf>
    <xf numFmtId="0" fontId="30" fillId="0" borderId="0" xfId="0" applyFont="1" applyFill="1" applyBorder="1" applyAlignment="1">
      <alignment horizontal="center"/>
    </xf>
    <xf numFmtId="0" fontId="3" fillId="0" borderId="45" xfId="0" applyFont="1" applyBorder="1" applyAlignment="1">
      <alignment horizontal="left"/>
    </xf>
    <xf numFmtId="164" fontId="0" fillId="0" borderId="1" xfId="0" applyNumberFormat="1" applyBorder="1" applyAlignment="1">
      <alignment horizontal="right"/>
    </xf>
    <xf numFmtId="164" fontId="0" fillId="0" borderId="26" xfId="0" applyNumberFormat="1" applyBorder="1"/>
    <xf numFmtId="0" fontId="6" fillId="0" borderId="27" xfId="0" applyFont="1" applyBorder="1" applyAlignment="1">
      <alignment horizontal="left" vertical="center"/>
    </xf>
    <xf numFmtId="0" fontId="6" fillId="0" borderId="4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46" xfId="0" applyFont="1" applyBorder="1" applyAlignment="1">
      <alignment horizontal="left" vertical="center"/>
    </xf>
    <xf numFmtId="0" fontId="6" fillId="0" borderId="45" xfId="0" applyFont="1" applyBorder="1" applyAlignment="1">
      <alignment horizontal="left" vertical="center"/>
    </xf>
    <xf numFmtId="0" fontId="0" fillId="0" borderId="61" xfId="0" applyBorder="1"/>
    <xf numFmtId="0" fontId="9" fillId="6" borderId="40" xfId="0" applyFont="1" applyFill="1" applyBorder="1" applyAlignment="1">
      <alignment horizontal="center"/>
    </xf>
    <xf numFmtId="164" fontId="22" fillId="8" borderId="63" xfId="0" applyNumberFormat="1" applyFont="1" applyFill="1" applyBorder="1"/>
    <xf numFmtId="0" fontId="32" fillId="0" borderId="0" xfId="0" applyFont="1" applyFill="1"/>
    <xf numFmtId="0" fontId="32" fillId="0" borderId="0" xfId="0" applyFont="1" applyFill="1" applyBorder="1"/>
    <xf numFmtId="0" fontId="2" fillId="6" borderId="33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30" fillId="7" borderId="32" xfId="0" applyFont="1" applyFill="1" applyBorder="1" applyAlignment="1">
      <alignment horizontal="center"/>
    </xf>
    <xf numFmtId="0" fontId="30" fillId="7" borderId="0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 vertical="center"/>
    </xf>
    <xf numFmtId="0" fontId="2" fillId="6" borderId="53" xfId="0" applyFont="1" applyFill="1" applyBorder="1" applyAlignment="1">
      <alignment horizontal="center" vertical="center"/>
    </xf>
    <xf numFmtId="0" fontId="26" fillId="7" borderId="2" xfId="0" applyFont="1" applyFill="1" applyBorder="1" applyAlignment="1">
      <alignment horizontal="center"/>
    </xf>
    <xf numFmtId="0" fontId="26" fillId="7" borderId="3" xfId="0" applyFont="1" applyFill="1" applyBorder="1" applyAlignment="1">
      <alignment horizontal="center"/>
    </xf>
    <xf numFmtId="0" fontId="26" fillId="7" borderId="4" xfId="0" applyFont="1" applyFill="1" applyBorder="1" applyAlignment="1">
      <alignment horizontal="center"/>
    </xf>
    <xf numFmtId="0" fontId="15" fillId="7" borderId="3" xfId="0" applyFont="1" applyFill="1" applyBorder="1" applyAlignment="1">
      <alignment horizontal="center"/>
    </xf>
    <xf numFmtId="164" fontId="0" fillId="0" borderId="1" xfId="0" applyNumberFormat="1" applyBorder="1"/>
    <xf numFmtId="0" fontId="30" fillId="7" borderId="2" xfId="0" applyFont="1" applyFill="1" applyBorder="1" applyAlignment="1">
      <alignment horizontal="center"/>
    </xf>
    <xf numFmtId="0" fontId="30" fillId="7" borderId="3" xfId="0" applyFont="1" applyFill="1" applyBorder="1" applyAlignment="1">
      <alignment horizontal="center"/>
    </xf>
    <xf numFmtId="0" fontId="30" fillId="7" borderId="4" xfId="0" applyFont="1" applyFill="1" applyBorder="1" applyAlignment="1">
      <alignment horizontal="center"/>
    </xf>
    <xf numFmtId="0" fontId="29" fillId="7" borderId="2" xfId="0" applyFont="1" applyFill="1" applyBorder="1" applyAlignment="1">
      <alignment horizontal="center"/>
    </xf>
    <xf numFmtId="0" fontId="29" fillId="7" borderId="3" xfId="0" applyFont="1" applyFill="1" applyBorder="1" applyAlignment="1">
      <alignment horizontal="center"/>
    </xf>
    <xf numFmtId="164" fontId="2" fillId="0" borderId="29" xfId="0" applyNumberFormat="1" applyFont="1" applyBorder="1"/>
    <xf numFmtId="164" fontId="22" fillId="0" borderId="0" xfId="0" applyNumberFormat="1" applyFont="1" applyFill="1" applyBorder="1"/>
    <xf numFmtId="10" fontId="2" fillId="0" borderId="64" xfId="0" applyNumberFormat="1" applyFont="1" applyBorder="1" applyAlignment="1">
      <alignment horizontal="center"/>
    </xf>
    <xf numFmtId="10" fontId="2" fillId="0" borderId="65" xfId="0" applyNumberFormat="1" applyFont="1" applyBorder="1" applyAlignment="1">
      <alignment horizontal="center"/>
    </xf>
    <xf numFmtId="10" fontId="2" fillId="0" borderId="48" xfId="0" applyNumberFormat="1" applyFont="1" applyBorder="1" applyAlignment="1">
      <alignment horizontal="center"/>
    </xf>
    <xf numFmtId="10" fontId="2" fillId="0" borderId="49" xfId="0" applyNumberFormat="1" applyFont="1" applyBorder="1" applyAlignment="1">
      <alignment horizontal="center"/>
    </xf>
    <xf numFmtId="10" fontId="2" fillId="0" borderId="50" xfId="0" applyNumberFormat="1" applyFont="1" applyBorder="1" applyAlignment="1">
      <alignment horizontal="center"/>
    </xf>
    <xf numFmtId="10" fontId="2" fillId="0" borderId="63" xfId="0" applyNumberFormat="1" applyFont="1" applyBorder="1" applyAlignment="1">
      <alignment horizontal="center"/>
    </xf>
    <xf numFmtId="10" fontId="2" fillId="0" borderId="51" xfId="0" applyNumberFormat="1" applyFont="1" applyBorder="1" applyAlignment="1">
      <alignment horizontal="center"/>
    </xf>
    <xf numFmtId="0" fontId="0" fillId="0" borderId="15" xfId="0" applyBorder="1"/>
    <xf numFmtId="165" fontId="22" fillId="0" borderId="0" xfId="0" applyNumberFormat="1" applyFont="1" applyAlignment="1">
      <alignment horizontal="center"/>
    </xf>
    <xf numFmtId="164" fontId="32" fillId="0" borderId="16" xfId="1" applyNumberFormat="1" applyFont="1" applyBorder="1"/>
    <xf numFmtId="164" fontId="32" fillId="0" borderId="6" xfId="1" applyNumberFormat="1" applyFont="1" applyBorder="1"/>
    <xf numFmtId="0" fontId="9" fillId="10" borderId="33" xfId="0" applyFont="1" applyFill="1" applyBorder="1"/>
    <xf numFmtId="0" fontId="0" fillId="10" borderId="35" xfId="0" applyFill="1" applyBorder="1"/>
    <xf numFmtId="0" fontId="8" fillId="10" borderId="36" xfId="0" applyFont="1" applyFill="1" applyBorder="1"/>
    <xf numFmtId="9" fontId="18" fillId="10" borderId="37" xfId="0" applyNumberFormat="1" applyFont="1" applyFill="1" applyBorder="1" applyAlignment="1">
      <alignment horizontal="center"/>
    </xf>
    <xf numFmtId="0" fontId="8" fillId="10" borderId="38" xfId="0" applyFont="1" applyFill="1" applyBorder="1"/>
    <xf numFmtId="9" fontId="18" fillId="10" borderId="39" xfId="0" applyNumberFormat="1" applyFont="1" applyFill="1" applyBorder="1" applyAlignment="1">
      <alignment horizontal="center"/>
    </xf>
    <xf numFmtId="10" fontId="2" fillId="0" borderId="30" xfId="0" applyNumberFormat="1" applyFont="1" applyFill="1" applyBorder="1" applyAlignment="1">
      <alignment horizontal="center"/>
    </xf>
    <xf numFmtId="10" fontId="2" fillId="0" borderId="43" xfId="0" applyNumberFormat="1" applyFont="1" applyFill="1" applyBorder="1" applyAlignment="1">
      <alignment horizontal="center"/>
    </xf>
    <xf numFmtId="10" fontId="2" fillId="0" borderId="40" xfId="0" applyNumberFormat="1" applyFont="1" applyFill="1" applyBorder="1" applyAlignment="1">
      <alignment horizontal="center"/>
    </xf>
    <xf numFmtId="10" fontId="2" fillId="0" borderId="42" xfId="0" applyNumberFormat="1" applyFont="1" applyFill="1" applyBorder="1" applyAlignment="1">
      <alignment horizontal="center"/>
    </xf>
    <xf numFmtId="10" fontId="2" fillId="0" borderId="41" xfId="0" applyNumberFormat="1" applyFont="1" applyFill="1" applyBorder="1" applyAlignment="1">
      <alignment horizontal="center"/>
    </xf>
    <xf numFmtId="10" fontId="2" fillId="0" borderId="44" xfId="0" applyNumberFormat="1" applyFont="1" applyFill="1" applyBorder="1" applyAlignment="1">
      <alignment horizontal="center"/>
    </xf>
    <xf numFmtId="0" fontId="2" fillId="0" borderId="48" xfId="0" applyFont="1" applyBorder="1"/>
    <xf numFmtId="164" fontId="2" fillId="0" borderId="58" xfId="0" applyNumberFormat="1" applyFont="1" applyBorder="1"/>
    <xf numFmtId="0" fontId="2" fillId="0" borderId="50" xfId="0" applyFont="1" applyBorder="1"/>
    <xf numFmtId="164" fontId="2" fillId="0" borderId="66" xfId="0" applyNumberFormat="1" applyFont="1" applyBorder="1"/>
    <xf numFmtId="164" fontId="2" fillId="0" borderId="60" xfId="0" applyNumberFormat="1" applyFont="1" applyBorder="1"/>
    <xf numFmtId="0" fontId="0" fillId="0" borderId="64" xfId="0" applyBorder="1"/>
    <xf numFmtId="164" fontId="22" fillId="8" borderId="51" xfId="0" applyNumberFormat="1" applyFont="1" applyFill="1" applyBorder="1"/>
    <xf numFmtId="10" fontId="2" fillId="0" borderId="0" xfId="0" applyNumberFormat="1" applyFont="1" applyFill="1" applyBorder="1" applyAlignment="1">
      <alignment horizontal="center"/>
    </xf>
    <xf numFmtId="164" fontId="21" fillId="0" borderId="0" xfId="0" applyNumberFormat="1" applyFont="1" applyFill="1" applyBorder="1"/>
    <xf numFmtId="0" fontId="26" fillId="0" borderId="0" xfId="0" applyFont="1" applyFill="1" applyBorder="1" applyAlignment="1"/>
    <xf numFmtId="0" fontId="2" fillId="6" borderId="64" xfId="0" applyFont="1" applyFill="1" applyBorder="1" applyAlignment="1">
      <alignment horizontal="center"/>
    </xf>
    <xf numFmtId="164" fontId="21" fillId="9" borderId="60" xfId="0" applyNumberFormat="1" applyFont="1" applyFill="1" applyBorder="1"/>
    <xf numFmtId="164" fontId="21" fillId="9" borderId="57" xfId="0" applyNumberFormat="1" applyFont="1" applyFill="1" applyBorder="1"/>
    <xf numFmtId="0" fontId="31" fillId="9" borderId="59" xfId="0" applyFont="1" applyFill="1" applyBorder="1"/>
    <xf numFmtId="0" fontId="2" fillId="0" borderId="64" xfId="0" applyFont="1" applyBorder="1"/>
    <xf numFmtId="164" fontId="2" fillId="0" borderId="54" xfId="0" applyNumberFormat="1" applyFont="1" applyBorder="1"/>
    <xf numFmtId="164" fontId="2" fillId="0" borderId="67" xfId="0" applyNumberFormat="1" applyFont="1" applyBorder="1"/>
    <xf numFmtId="0" fontId="2" fillId="6" borderId="8" xfId="0" applyFont="1" applyFill="1" applyBorder="1" applyAlignment="1">
      <alignment horizontal="center" vertical="center"/>
    </xf>
    <xf numFmtId="0" fontId="2" fillId="6" borderId="68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003366"/>
      <color rgb="FF000066"/>
      <color rgb="FF003399"/>
      <color rgb="FFFFFF99"/>
      <color rgb="FF19476D"/>
      <color rgb="FFC1FF9F"/>
      <color rgb="FFFCF9BC"/>
      <color rgb="FFFDF0E9"/>
      <color rgb="FF333399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E97A22F-3EEA-45DE-A912-8B19E52B770D}">
  <we:reference id="wa200010725" version="1.0.0.1" store="es-ES" storeType="OMEX"/>
  <we:alternateReferences>
    <we:reference id="wa200010725" version="1.0.0.1" store="wa200010725" storeType="OMEX"/>
  </we:alternateReferences>
  <we:properties>
    <we:property name="claude.fileId" value="&quot;fff8ab76-4c73-4f08-95d3-5302a0eb7fb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N111"/>
  <sheetViews>
    <sheetView tabSelected="1" topLeftCell="A95" zoomScale="85" zoomScaleNormal="100" workbookViewId="0">
      <selection activeCell="F98" sqref="F98"/>
    </sheetView>
  </sheetViews>
  <sheetFormatPr baseColWidth="10" defaultRowHeight="15" x14ac:dyDescent="0.25"/>
  <cols>
    <col min="1" max="1" width="37.42578125" customWidth="1"/>
    <col min="2" max="2" width="16.28515625" customWidth="1"/>
    <col min="3" max="3" width="27.140625" customWidth="1"/>
    <col min="4" max="4" width="17.7109375" customWidth="1"/>
    <col min="5" max="5" width="20.28515625" customWidth="1"/>
    <col min="6" max="6" width="17" style="151" customWidth="1"/>
    <col min="7" max="7" width="7.140625" style="151" customWidth="1"/>
    <col min="8" max="8" width="20.85546875" customWidth="1"/>
    <col min="9" max="9" width="16.140625" customWidth="1"/>
    <col min="10" max="10" width="17" customWidth="1"/>
    <col min="11" max="11" width="6.42578125" customWidth="1"/>
    <col min="12" max="12" width="17.85546875" customWidth="1"/>
    <col min="13" max="13" width="17.5703125" customWidth="1"/>
    <col min="14" max="14" width="18.140625" customWidth="1"/>
    <col min="16" max="16" width="20.28515625" customWidth="1"/>
    <col min="17" max="17" width="17.42578125" customWidth="1"/>
  </cols>
  <sheetData>
    <row r="1" spans="1:14" ht="23.25" x14ac:dyDescent="0.35">
      <c r="A1" s="171" t="s">
        <v>4</v>
      </c>
      <c r="B1" s="171"/>
      <c r="C1" s="171"/>
      <c r="D1" s="171"/>
      <c r="E1" s="171"/>
      <c r="F1" s="171"/>
      <c r="G1" s="171"/>
      <c r="K1" s="151"/>
    </row>
    <row r="2" spans="1:14" ht="18.75" x14ac:dyDescent="0.3">
      <c r="A2" s="172" t="s">
        <v>63</v>
      </c>
      <c r="B2" s="172"/>
      <c r="C2" s="172"/>
      <c r="D2" s="172"/>
      <c r="E2" s="172"/>
      <c r="F2" s="172"/>
      <c r="G2" s="172"/>
      <c r="K2" s="151"/>
    </row>
    <row r="3" spans="1:14" ht="15.75" thickBot="1" x14ac:dyDescent="0.3">
      <c r="K3" s="151"/>
    </row>
    <row r="4" spans="1:14" ht="18" customHeight="1" thickBot="1" x14ac:dyDescent="0.3">
      <c r="A4" s="173" t="s">
        <v>105</v>
      </c>
      <c r="B4" s="207"/>
      <c r="C4" s="174" t="s">
        <v>102</v>
      </c>
      <c r="D4" s="227" t="s">
        <v>109</v>
      </c>
      <c r="E4" s="228"/>
      <c r="G4" s="136"/>
      <c r="H4" s="136"/>
      <c r="K4" s="136"/>
    </row>
    <row r="5" spans="1:14" ht="18" customHeight="1" thickBot="1" x14ac:dyDescent="0.3">
      <c r="A5" s="22" t="s">
        <v>70</v>
      </c>
      <c r="B5" s="88">
        <v>330</v>
      </c>
      <c r="C5" s="89" t="s">
        <v>9</v>
      </c>
      <c r="D5" s="229" t="s">
        <v>112</v>
      </c>
      <c r="E5" s="230">
        <v>0.05</v>
      </c>
      <c r="G5" s="136"/>
      <c r="H5" s="136"/>
      <c r="K5" s="136"/>
    </row>
    <row r="6" spans="1:14" ht="18" customHeight="1" thickBot="1" x14ac:dyDescent="0.3">
      <c r="A6" s="22" t="s">
        <v>71</v>
      </c>
      <c r="B6" s="88" t="s">
        <v>72</v>
      </c>
      <c r="C6" s="89"/>
      <c r="D6" s="229" t="s">
        <v>111</v>
      </c>
      <c r="E6" s="230">
        <v>0.12</v>
      </c>
      <c r="G6" s="135"/>
    </row>
    <row r="7" spans="1:14" ht="16.5" customHeight="1" thickBot="1" x14ac:dyDescent="0.3">
      <c r="A7" s="22" t="s">
        <v>95</v>
      </c>
      <c r="B7" s="130">
        <v>520000</v>
      </c>
      <c r="C7" s="89"/>
      <c r="D7" s="231" t="s">
        <v>110</v>
      </c>
      <c r="E7" s="232">
        <v>0.25</v>
      </c>
      <c r="G7" s="135"/>
      <c r="H7" s="135"/>
      <c r="K7" s="135"/>
    </row>
    <row r="8" spans="1:14" ht="16.5" customHeight="1" thickBot="1" x14ac:dyDescent="0.3">
      <c r="A8" s="22" t="s">
        <v>96</v>
      </c>
      <c r="B8" s="130">
        <v>590000</v>
      </c>
      <c r="C8" s="89"/>
      <c r="D8" s="134"/>
      <c r="E8" s="135"/>
      <c r="F8" s="135"/>
      <c r="G8" s="135"/>
      <c r="H8" s="135"/>
      <c r="K8" s="135"/>
    </row>
    <row r="9" spans="1:14" ht="16.5" customHeight="1" thickBot="1" x14ac:dyDescent="0.3">
      <c r="A9" s="22" t="s">
        <v>97</v>
      </c>
      <c r="B9" s="130">
        <v>680000</v>
      </c>
      <c r="C9" s="89"/>
      <c r="D9" s="134"/>
      <c r="E9" s="135"/>
      <c r="F9" s="135"/>
      <c r="G9" s="135"/>
      <c r="H9" s="135"/>
      <c r="K9" s="135"/>
    </row>
    <row r="10" spans="1:14" ht="16.5" customHeight="1" thickBot="1" x14ac:dyDescent="0.3">
      <c r="A10" s="22" t="s">
        <v>14</v>
      </c>
      <c r="B10" s="130">
        <v>1</v>
      </c>
      <c r="C10" s="89"/>
      <c r="D10" s="134"/>
      <c r="E10" s="135"/>
      <c r="F10" s="135"/>
      <c r="G10" s="135"/>
      <c r="H10" s="135"/>
      <c r="K10" s="135"/>
    </row>
    <row r="11" spans="1:14" ht="18.75" customHeight="1" thickBot="1" x14ac:dyDescent="0.3">
      <c r="A11" s="22" t="s">
        <v>100</v>
      </c>
      <c r="B11" s="183">
        <f>+B95</f>
        <v>680424714</v>
      </c>
      <c r="C11" s="223" t="s">
        <v>103</v>
      </c>
      <c r="D11" s="151"/>
      <c r="K11" s="151"/>
    </row>
    <row r="12" spans="1:14" ht="18.75" customHeight="1" thickBot="1" x14ac:dyDescent="0.3">
      <c r="A12" s="182" t="s">
        <v>101</v>
      </c>
      <c r="B12" s="184">
        <f>+C95</f>
        <v>829500000</v>
      </c>
      <c r="C12" s="223" t="s">
        <v>104</v>
      </c>
      <c r="D12" s="151"/>
      <c r="K12" s="151"/>
    </row>
    <row r="13" spans="1:14" ht="18.75" customHeight="1" thickBot="1" x14ac:dyDescent="0.3">
      <c r="A13" s="22" t="s">
        <v>94</v>
      </c>
      <c r="B13" s="208">
        <f>+D95</f>
        <v>920040000</v>
      </c>
      <c r="C13" s="38"/>
      <c r="D13" s="151"/>
      <c r="K13" s="151"/>
    </row>
    <row r="14" spans="1:14" ht="18.75" customHeight="1" thickBot="1" x14ac:dyDescent="0.3">
      <c r="A14" s="161"/>
      <c r="B14" s="65"/>
      <c r="K14" s="151"/>
    </row>
    <row r="15" spans="1:14" ht="18.75" customHeight="1" thickBot="1" x14ac:dyDescent="0.3">
      <c r="A15" s="187" t="s">
        <v>88</v>
      </c>
      <c r="B15" s="188"/>
      <c r="C15" s="189"/>
      <c r="D15" s="173" t="s">
        <v>81</v>
      </c>
      <c r="E15" s="207"/>
      <c r="F15" s="207"/>
      <c r="G15" s="152"/>
      <c r="H15" s="173" t="s">
        <v>82</v>
      </c>
      <c r="I15" s="207"/>
      <c r="J15" s="207"/>
      <c r="K15" s="152"/>
      <c r="L15" s="212" t="s">
        <v>83</v>
      </c>
      <c r="M15" s="213"/>
      <c r="N15" s="213"/>
    </row>
    <row r="16" spans="1:14" ht="20.25" customHeight="1" thickBot="1" x14ac:dyDescent="0.3">
      <c r="A16" s="190"/>
      <c r="B16" s="185"/>
      <c r="C16" s="186"/>
      <c r="D16" s="37" t="s">
        <v>98</v>
      </c>
      <c r="E16" s="137" t="s">
        <v>93</v>
      </c>
      <c r="F16" s="37" t="s">
        <v>99</v>
      </c>
      <c r="G16" s="153"/>
      <c r="H16" s="37" t="s">
        <v>98</v>
      </c>
      <c r="I16" s="137" t="s">
        <v>93</v>
      </c>
      <c r="J16" s="37" t="s">
        <v>99</v>
      </c>
      <c r="K16" s="153"/>
      <c r="L16" s="37" t="s">
        <v>98</v>
      </c>
      <c r="M16" s="137" t="s">
        <v>93</v>
      </c>
      <c r="N16" s="37" t="s">
        <v>99</v>
      </c>
    </row>
    <row r="17" spans="1:14" ht="15.75" customHeight="1" thickBot="1" x14ac:dyDescent="0.3">
      <c r="A17" s="97" t="s">
        <v>64</v>
      </c>
      <c r="B17" s="98"/>
      <c r="C17" s="98"/>
      <c r="D17" s="132">
        <v>0.5</v>
      </c>
      <c r="E17" s="138">
        <v>0.5</v>
      </c>
      <c r="F17" s="132">
        <v>0.5</v>
      </c>
      <c r="G17" s="154"/>
      <c r="H17" s="132">
        <v>0.7</v>
      </c>
      <c r="I17" s="132">
        <v>0.7</v>
      </c>
      <c r="J17" s="132">
        <v>0.7</v>
      </c>
      <c r="K17" s="154"/>
      <c r="L17" s="132">
        <v>0.85</v>
      </c>
      <c r="M17" s="132">
        <v>0.85</v>
      </c>
      <c r="N17" s="132">
        <v>0.85</v>
      </c>
    </row>
    <row r="18" spans="1:14" ht="19.5" customHeight="1" thickBot="1" x14ac:dyDescent="0.3">
      <c r="A18" s="99" t="s">
        <v>48</v>
      </c>
      <c r="B18" s="100"/>
      <c r="C18" s="100"/>
      <c r="D18" s="70">
        <f>+B7</f>
        <v>520000</v>
      </c>
      <c r="E18" s="139">
        <f>+B8</f>
        <v>590000</v>
      </c>
      <c r="F18" s="70">
        <f>+B9</f>
        <v>680000</v>
      </c>
      <c r="G18" s="155"/>
      <c r="H18" s="70">
        <f>+D18*1.1</f>
        <v>572000</v>
      </c>
      <c r="I18" s="70">
        <f>+E18*1.1</f>
        <v>649000</v>
      </c>
      <c r="J18" s="70">
        <f>+F18*1.1</f>
        <v>748000.00000000012</v>
      </c>
      <c r="K18" s="155"/>
      <c r="L18" s="70">
        <f>+H18*1.1</f>
        <v>629200</v>
      </c>
      <c r="M18" s="70">
        <f>+I18*1.1</f>
        <v>713900</v>
      </c>
      <c r="N18" s="70">
        <f>+J18*1.1</f>
        <v>822800.00000000023</v>
      </c>
    </row>
    <row r="19" spans="1:14" ht="15" customHeight="1" x14ac:dyDescent="0.25">
      <c r="A19" s="101"/>
      <c r="B19" s="102"/>
      <c r="C19" s="102"/>
      <c r="D19" s="56"/>
      <c r="E19" s="140"/>
      <c r="F19" s="56"/>
      <c r="G19" s="156"/>
      <c r="H19" s="56"/>
      <c r="I19" s="56"/>
      <c r="J19" s="56"/>
      <c r="K19" s="156"/>
      <c r="L19" s="56"/>
      <c r="M19" s="56"/>
      <c r="N19" s="56"/>
    </row>
    <row r="20" spans="1:14" ht="16.5" customHeight="1" x14ac:dyDescent="0.25">
      <c r="A20" s="103" t="s">
        <v>29</v>
      </c>
      <c r="B20" s="104"/>
      <c r="C20" s="104"/>
      <c r="D20" s="56"/>
      <c r="E20" s="140"/>
      <c r="F20" s="56"/>
      <c r="G20" s="156"/>
      <c r="H20" s="56"/>
      <c r="I20" s="56"/>
      <c r="J20" s="56"/>
      <c r="K20" s="156"/>
      <c r="L20" s="56"/>
      <c r="M20" s="56"/>
      <c r="N20" s="56"/>
    </row>
    <row r="21" spans="1:14" ht="19.5" customHeight="1" x14ac:dyDescent="0.25">
      <c r="A21" s="105" t="s">
        <v>19</v>
      </c>
      <c r="B21" s="106"/>
      <c r="C21" s="106"/>
      <c r="D21" s="57">
        <f>+(($B$10*D18)*D17)*$B$5</f>
        <v>85800000</v>
      </c>
      <c r="E21" s="141">
        <f>+(($B$10*E18)*E17)*$B$5</f>
        <v>97350000</v>
      </c>
      <c r="F21" s="57">
        <f>+(($B$10*F18)*F17)*$B$5</f>
        <v>112200000</v>
      </c>
      <c r="G21" s="41"/>
      <c r="H21" s="57">
        <f>+(($B$10*H18)*H17)*$B$5</f>
        <v>132132000</v>
      </c>
      <c r="I21" s="57">
        <f>+(($B$10*I18)*I17)*$B$5</f>
        <v>149919000</v>
      </c>
      <c r="J21" s="57">
        <f>+(($B$10*J18)*J17)*$B$5</f>
        <v>172788000.00000003</v>
      </c>
      <c r="K21" s="41"/>
      <c r="L21" s="57">
        <f>+(($B$10*L18)*L17)*$B$5</f>
        <v>176490600</v>
      </c>
      <c r="M21" s="57">
        <f>+(($B$10*M18)*M17)*$B$5</f>
        <v>200248950</v>
      </c>
      <c r="N21" s="57">
        <f>+(($B$10*N18)*N17)*$B$5</f>
        <v>230795400.00000009</v>
      </c>
    </row>
    <row r="22" spans="1:14" ht="15.75" thickBot="1" x14ac:dyDescent="0.3">
      <c r="A22" s="107" t="s">
        <v>65</v>
      </c>
      <c r="B22" s="108"/>
      <c r="C22" s="108"/>
      <c r="D22" s="57"/>
      <c r="E22" s="141"/>
      <c r="F22" s="57"/>
      <c r="G22" s="41"/>
      <c r="H22" s="57"/>
      <c r="I22" s="57"/>
      <c r="J22" s="57"/>
      <c r="K22" s="41"/>
      <c r="L22" s="57"/>
      <c r="M22" s="57"/>
      <c r="N22" s="57"/>
    </row>
    <row r="23" spans="1:14" ht="23.25" customHeight="1" thickBot="1" x14ac:dyDescent="0.3">
      <c r="A23" s="92" t="s">
        <v>0</v>
      </c>
      <c r="B23" s="93"/>
      <c r="C23" s="94"/>
      <c r="D23" s="76">
        <f>+D21+D22</f>
        <v>85800000</v>
      </c>
      <c r="E23" s="142">
        <f>+E21+E22</f>
        <v>97350000</v>
      </c>
      <c r="F23" s="76">
        <f>+F21+F22</f>
        <v>112200000</v>
      </c>
      <c r="G23" s="43"/>
      <c r="H23" s="76">
        <f>+H21+H22</f>
        <v>132132000</v>
      </c>
      <c r="I23" s="76">
        <f>+I21+I22</f>
        <v>149919000</v>
      </c>
      <c r="J23" s="76">
        <f>+J21+J22</f>
        <v>172788000.00000003</v>
      </c>
      <c r="K23" s="43"/>
      <c r="L23" s="76">
        <f>+L21+L22</f>
        <v>176490600</v>
      </c>
      <c r="M23" s="76">
        <f>+M21+M22</f>
        <v>200248950</v>
      </c>
      <c r="N23" s="76">
        <f>+N21+N22</f>
        <v>230795400.00000009</v>
      </c>
    </row>
    <row r="24" spans="1:14" ht="14.25" customHeight="1" x14ac:dyDescent="0.25">
      <c r="A24" s="60"/>
      <c r="D24" s="78"/>
      <c r="E24" s="143"/>
      <c r="F24" s="78"/>
      <c r="H24" s="78"/>
      <c r="I24" s="78"/>
      <c r="J24" s="78"/>
      <c r="K24" s="151"/>
      <c r="L24" s="78"/>
      <c r="M24" s="78"/>
      <c r="N24" s="78"/>
    </row>
    <row r="25" spans="1:14" ht="21" customHeight="1" x14ac:dyDescent="0.25">
      <c r="A25" s="95" t="s">
        <v>27</v>
      </c>
      <c r="B25" s="96"/>
      <c r="C25" s="61"/>
      <c r="D25" s="57"/>
      <c r="E25" s="141"/>
      <c r="F25" s="57"/>
      <c r="G25" s="41"/>
      <c r="H25" s="57"/>
      <c r="I25" s="57"/>
      <c r="J25" s="57"/>
      <c r="K25" s="41"/>
      <c r="L25" s="57"/>
      <c r="M25" s="57"/>
      <c r="N25" s="57"/>
    </row>
    <row r="26" spans="1:14" ht="18" customHeight="1" x14ac:dyDescent="0.25">
      <c r="A26" s="60" t="s">
        <v>49</v>
      </c>
      <c r="B26" s="72" t="s">
        <v>50</v>
      </c>
      <c r="C26" s="61">
        <v>0.13</v>
      </c>
      <c r="D26" s="57">
        <f>+D21*$C$26</f>
        <v>11154000</v>
      </c>
      <c r="E26" s="141">
        <f>+E21*$C$26</f>
        <v>12655500</v>
      </c>
      <c r="F26" s="57">
        <f>+F21*$C$26</f>
        <v>14586000</v>
      </c>
      <c r="G26" s="41"/>
      <c r="H26" s="57">
        <f>+H21*$C$26</f>
        <v>17177160</v>
      </c>
      <c r="I26" s="57">
        <f>+I21*$C$26</f>
        <v>19489470</v>
      </c>
      <c r="J26" s="57">
        <f>+J21*$C$26</f>
        <v>22462440.000000004</v>
      </c>
      <c r="K26" s="41"/>
      <c r="L26" s="57">
        <f>+L21*$C$26</f>
        <v>22943778</v>
      </c>
      <c r="M26" s="57">
        <f>+M21*$C$26</f>
        <v>26032363.5</v>
      </c>
      <c r="N26" s="57">
        <f>+N21*$C$26</f>
        <v>30003402.000000011</v>
      </c>
    </row>
    <row r="27" spans="1:14" ht="18.75" customHeight="1" x14ac:dyDescent="0.25">
      <c r="A27" s="60" t="s">
        <v>51</v>
      </c>
      <c r="B27" s="72" t="s">
        <v>85</v>
      </c>
      <c r="C27" s="61">
        <v>0.01</v>
      </c>
      <c r="D27" s="57">
        <f>+D21*$C$27</f>
        <v>858000</v>
      </c>
      <c r="E27" s="141">
        <f>+E21*$C$27</f>
        <v>973500</v>
      </c>
      <c r="F27" s="57">
        <f>+F21*$C$27</f>
        <v>1122000</v>
      </c>
      <c r="G27" s="41"/>
      <c r="H27" s="57">
        <f>+H21*$C$27</f>
        <v>1321320</v>
      </c>
      <c r="I27" s="57">
        <f>+I21*$C$27</f>
        <v>1499190</v>
      </c>
      <c r="J27" s="57">
        <f>+J21*$C$27</f>
        <v>1727880.0000000002</v>
      </c>
      <c r="K27" s="41"/>
      <c r="L27" s="57">
        <f>+L21*$C$27</f>
        <v>1764906</v>
      </c>
      <c r="M27" s="57">
        <f>+M21*$C$27</f>
        <v>2002489.5</v>
      </c>
      <c r="N27" s="57">
        <f>+N21*$C$27</f>
        <v>2307954.0000000009</v>
      </c>
    </row>
    <row r="28" spans="1:14" ht="18.75" customHeight="1" thickBot="1" x14ac:dyDescent="0.3">
      <c r="A28" s="60"/>
      <c r="C28" s="61"/>
      <c r="D28" s="79"/>
      <c r="E28" s="144"/>
      <c r="F28" s="79"/>
      <c r="G28" s="41"/>
      <c r="H28" s="79"/>
      <c r="I28" s="79"/>
      <c r="J28" s="79"/>
      <c r="K28" s="41"/>
      <c r="L28" s="79"/>
      <c r="M28" s="79"/>
      <c r="N28" s="79"/>
    </row>
    <row r="29" spans="1:14" ht="21.75" customHeight="1" thickBot="1" x14ac:dyDescent="0.3">
      <c r="A29" s="58" t="s">
        <v>28</v>
      </c>
      <c r="B29" s="59"/>
      <c r="C29" s="59"/>
      <c r="D29" s="77">
        <f>SUM(D25:D28)</f>
        <v>12012000</v>
      </c>
      <c r="E29" s="145">
        <f>SUM(E25:E28)</f>
        <v>13629000</v>
      </c>
      <c r="F29" s="77">
        <f>SUM(F25:F28)</f>
        <v>15708000</v>
      </c>
      <c r="G29" s="157"/>
      <c r="H29" s="77">
        <f>SUM(H25:H28)</f>
        <v>18498480</v>
      </c>
      <c r="I29" s="77">
        <f>SUM(I25:I28)</f>
        <v>20988660</v>
      </c>
      <c r="J29" s="77">
        <f>SUM(J25:J28)</f>
        <v>24190320.000000004</v>
      </c>
      <c r="K29" s="157"/>
      <c r="L29" s="77">
        <f>SUM(L25:L28)</f>
        <v>24708684</v>
      </c>
      <c r="M29" s="77">
        <f>SUM(M25:M28)</f>
        <v>28034853</v>
      </c>
      <c r="N29" s="77">
        <f>SUM(N25:N28)</f>
        <v>32311356.000000011</v>
      </c>
    </row>
    <row r="30" spans="1:14" ht="15.75" customHeight="1" thickBot="1" x14ac:dyDescent="0.3">
      <c r="A30" s="60"/>
      <c r="D30" s="80"/>
      <c r="E30" s="60"/>
      <c r="F30" s="80"/>
      <c r="H30" s="80"/>
      <c r="I30" s="80"/>
      <c r="J30" s="80"/>
      <c r="K30" s="151"/>
      <c r="L30" s="80"/>
      <c r="M30" s="80"/>
      <c r="N30" s="80"/>
    </row>
    <row r="31" spans="1:14" ht="23.25" customHeight="1" thickBot="1" x14ac:dyDescent="0.3">
      <c r="A31" s="58" t="s">
        <v>30</v>
      </c>
      <c r="B31" s="59"/>
      <c r="C31" s="59"/>
      <c r="D31" s="55">
        <f>+D23-D29</f>
        <v>73788000</v>
      </c>
      <c r="E31" s="150">
        <f>+E23-E29</f>
        <v>83721000</v>
      </c>
      <c r="F31" s="55">
        <f>+F23-F29</f>
        <v>96492000</v>
      </c>
      <c r="G31" s="157"/>
      <c r="H31" s="55">
        <f>+H23-H29</f>
        <v>113633520</v>
      </c>
      <c r="I31" s="55">
        <f>+I23-I29</f>
        <v>128930340</v>
      </c>
      <c r="J31" s="55">
        <f>+J23-J29</f>
        <v>148597680.00000003</v>
      </c>
      <c r="K31" s="157"/>
      <c r="L31" s="55">
        <f>+L23-L29</f>
        <v>151781916</v>
      </c>
      <c r="M31" s="55">
        <f>+M23-M29</f>
        <v>172214097</v>
      </c>
      <c r="N31" s="55">
        <f>+N23-N29</f>
        <v>198484044.00000009</v>
      </c>
    </row>
    <row r="32" spans="1:14" x14ac:dyDescent="0.25">
      <c r="A32" s="60"/>
      <c r="D32" s="80"/>
      <c r="E32" s="60"/>
      <c r="F32" s="80"/>
      <c r="H32" s="80"/>
      <c r="I32" s="80"/>
      <c r="J32" s="80"/>
      <c r="K32" s="151"/>
      <c r="L32" s="80"/>
      <c r="M32" s="80"/>
      <c r="N32" s="80"/>
    </row>
    <row r="33" spans="1:14" ht="22.5" customHeight="1" x14ac:dyDescent="0.25">
      <c r="A33" s="71" t="s">
        <v>47</v>
      </c>
      <c r="C33" s="61"/>
      <c r="D33" s="81"/>
      <c r="E33" s="146"/>
      <c r="F33" s="81"/>
      <c r="G33" s="158"/>
      <c r="H33" s="81"/>
      <c r="I33" s="81"/>
      <c r="J33" s="81"/>
      <c r="K33" s="158"/>
      <c r="L33" s="81"/>
      <c r="M33" s="81"/>
      <c r="N33" s="81"/>
    </row>
    <row r="34" spans="1:14" ht="13.5" customHeight="1" x14ac:dyDescent="0.25">
      <c r="A34" s="71"/>
      <c r="C34" s="61"/>
      <c r="D34" s="81"/>
      <c r="E34" s="146"/>
      <c r="F34" s="81"/>
      <c r="G34" s="158"/>
      <c r="H34" s="81"/>
      <c r="I34" s="81"/>
      <c r="J34" s="81"/>
      <c r="K34" s="158"/>
      <c r="L34" s="81"/>
      <c r="M34" s="81"/>
      <c r="N34" s="81"/>
    </row>
    <row r="35" spans="1:14" x14ac:dyDescent="0.25">
      <c r="A35" s="62" t="s">
        <v>62</v>
      </c>
      <c r="C35" s="63">
        <v>1.2E-2</v>
      </c>
      <c r="D35" s="81">
        <f>+D21*$C35</f>
        <v>1029600</v>
      </c>
      <c r="E35" s="146">
        <f>+E21*$C35</f>
        <v>1168200</v>
      </c>
      <c r="F35" s="81">
        <f>+F21*$C35</f>
        <v>1346400</v>
      </c>
      <c r="G35" s="158"/>
      <c r="H35" s="81">
        <f>+H21*$C35</f>
        <v>1585584</v>
      </c>
      <c r="I35" s="81">
        <f>+I21*$C35</f>
        <v>1799028</v>
      </c>
      <c r="J35" s="81">
        <f>+J21*$C35</f>
        <v>2073456.0000000005</v>
      </c>
      <c r="K35" s="158"/>
      <c r="L35" s="81">
        <f>+L21*$C35</f>
        <v>2117887.2000000002</v>
      </c>
      <c r="M35" s="81">
        <f>+M21*$C35</f>
        <v>2402987.4</v>
      </c>
      <c r="N35" s="81">
        <f>+N21*$C35</f>
        <v>2769544.8000000012</v>
      </c>
    </row>
    <row r="36" spans="1:14" x14ac:dyDescent="0.25">
      <c r="A36" s="60" t="s">
        <v>53</v>
      </c>
      <c r="B36" s="73"/>
      <c r="C36" s="61"/>
      <c r="D36" s="81"/>
      <c r="E36" s="146"/>
      <c r="F36" s="81"/>
      <c r="G36" s="158"/>
      <c r="H36" s="81"/>
      <c r="I36" s="81"/>
      <c r="J36" s="81"/>
      <c r="K36" s="158"/>
      <c r="L36" s="81"/>
      <c r="M36" s="81"/>
      <c r="N36" s="81"/>
    </row>
    <row r="37" spans="1:14" x14ac:dyDescent="0.25">
      <c r="A37" s="60" t="s">
        <v>54</v>
      </c>
      <c r="B37" s="73"/>
      <c r="C37" s="61"/>
      <c r="D37" s="81"/>
      <c r="E37" s="146"/>
      <c r="F37" s="81"/>
      <c r="G37" s="158"/>
      <c r="H37" s="81"/>
      <c r="I37" s="81"/>
      <c r="J37" s="81"/>
      <c r="K37" s="158"/>
      <c r="L37" s="81"/>
      <c r="M37" s="81"/>
      <c r="N37" s="81"/>
    </row>
    <row r="38" spans="1:14" x14ac:dyDescent="0.25">
      <c r="A38" s="60" t="s">
        <v>55</v>
      </c>
      <c r="B38" s="73"/>
      <c r="C38" s="61"/>
      <c r="D38" s="81"/>
      <c r="E38" s="146"/>
      <c r="F38" s="81"/>
      <c r="G38" s="158"/>
      <c r="H38" s="81"/>
      <c r="I38" s="81"/>
      <c r="J38" s="81"/>
      <c r="K38" s="158"/>
      <c r="L38" s="81"/>
      <c r="M38" s="81"/>
      <c r="N38" s="81"/>
    </row>
    <row r="39" spans="1:14" ht="12.75" customHeight="1" x14ac:dyDescent="0.25">
      <c r="A39" s="60" t="s">
        <v>56</v>
      </c>
      <c r="B39" s="73"/>
      <c r="C39" s="61"/>
      <c r="D39" s="80"/>
      <c r="E39" s="60"/>
      <c r="F39" s="80"/>
      <c r="H39" s="80"/>
      <c r="I39" s="80"/>
      <c r="J39" s="80"/>
      <c r="K39" s="151"/>
      <c r="L39" s="80"/>
      <c r="M39" s="80"/>
      <c r="N39" s="80"/>
    </row>
    <row r="40" spans="1:14" ht="12.75" customHeight="1" x14ac:dyDescent="0.25">
      <c r="A40" s="60" t="s">
        <v>52</v>
      </c>
      <c r="B40" s="73"/>
      <c r="C40" s="61"/>
      <c r="D40" s="80"/>
      <c r="E40" s="60"/>
      <c r="F40" s="80"/>
      <c r="H40" s="80"/>
      <c r="I40" s="80"/>
      <c r="J40" s="80"/>
      <c r="K40" s="151"/>
      <c r="L40" s="80"/>
      <c r="M40" s="80"/>
      <c r="N40" s="80"/>
    </row>
    <row r="41" spans="1:14" ht="12.75" customHeight="1" x14ac:dyDescent="0.25">
      <c r="A41" s="60"/>
      <c r="B41" s="73"/>
      <c r="C41" s="61"/>
      <c r="D41" s="80"/>
      <c r="E41" s="60"/>
      <c r="F41" s="80"/>
      <c r="H41" s="80"/>
      <c r="I41" s="80"/>
      <c r="J41" s="80"/>
      <c r="K41" s="151"/>
      <c r="L41" s="80"/>
      <c r="M41" s="80"/>
      <c r="N41" s="80"/>
    </row>
    <row r="42" spans="1:14" ht="12.75" customHeight="1" x14ac:dyDescent="0.25">
      <c r="A42" s="60"/>
      <c r="B42" s="73"/>
      <c r="D42" s="80"/>
      <c r="E42" s="60"/>
      <c r="F42" s="80"/>
      <c r="H42" s="80"/>
      <c r="I42" s="80"/>
      <c r="J42" s="80"/>
      <c r="K42" s="151"/>
      <c r="L42" s="80"/>
      <c r="M42" s="80"/>
      <c r="N42" s="80"/>
    </row>
    <row r="43" spans="1:14" ht="12.75" customHeight="1" x14ac:dyDescent="0.25">
      <c r="A43" s="71" t="s">
        <v>57</v>
      </c>
      <c r="B43" s="73"/>
      <c r="C43" s="61">
        <v>0.02</v>
      </c>
      <c r="D43" s="81">
        <f>+D21*$C43</f>
        <v>1716000</v>
      </c>
      <c r="E43" s="147">
        <f>+E21*$C43</f>
        <v>1947000</v>
      </c>
      <c r="F43" s="84">
        <f>+F21*$C43</f>
        <v>2244000</v>
      </c>
      <c r="G43" s="159"/>
      <c r="H43" s="81">
        <f>+H21*$C43</f>
        <v>2642640</v>
      </c>
      <c r="I43" s="84">
        <f>+I21*$C43</f>
        <v>2998380</v>
      </c>
      <c r="J43" s="84">
        <f>+J21*$C43</f>
        <v>3455760.0000000005</v>
      </c>
      <c r="K43" s="159"/>
      <c r="L43" s="81">
        <f>+L21*$C43</f>
        <v>3529812</v>
      </c>
      <c r="M43" s="84">
        <f>+M21*$C43</f>
        <v>4004979</v>
      </c>
      <c r="N43" s="84">
        <f>+N21*$C43</f>
        <v>4615908.0000000019</v>
      </c>
    </row>
    <row r="44" spans="1:14" ht="12.75" customHeight="1" x14ac:dyDescent="0.25">
      <c r="A44" s="60"/>
      <c r="B44" s="73"/>
      <c r="C44" s="61"/>
      <c r="D44" s="80"/>
      <c r="E44" s="60"/>
      <c r="F44" s="80"/>
      <c r="H44" s="80"/>
      <c r="I44" s="80"/>
      <c r="J44" s="80"/>
      <c r="K44" s="151"/>
      <c r="L44" s="80"/>
      <c r="M44" s="80"/>
      <c r="N44" s="80"/>
    </row>
    <row r="45" spans="1:14" ht="14.25" customHeight="1" x14ac:dyDescent="0.25">
      <c r="A45" s="60" t="s">
        <v>59</v>
      </c>
      <c r="B45" s="73"/>
      <c r="C45" s="61"/>
      <c r="D45" s="80"/>
      <c r="E45" s="60"/>
      <c r="F45" s="80"/>
      <c r="H45" s="80"/>
      <c r="I45" s="80"/>
      <c r="J45" s="80"/>
      <c r="K45" s="151"/>
      <c r="L45" s="80"/>
      <c r="M45" s="80"/>
      <c r="N45" s="80"/>
    </row>
    <row r="46" spans="1:14" ht="16.5" customHeight="1" x14ac:dyDescent="0.25">
      <c r="A46" s="60" t="s">
        <v>58</v>
      </c>
      <c r="B46" s="73"/>
      <c r="C46" s="61"/>
      <c r="D46" s="80"/>
      <c r="E46" s="60"/>
      <c r="F46" s="80"/>
      <c r="H46" s="80"/>
      <c r="I46" s="80"/>
      <c r="J46" s="80"/>
      <c r="K46" s="151"/>
      <c r="L46" s="80"/>
      <c r="M46" s="80"/>
      <c r="N46" s="80"/>
    </row>
    <row r="47" spans="1:14" ht="14.25" customHeight="1" x14ac:dyDescent="0.25">
      <c r="A47" s="60" t="s">
        <v>60</v>
      </c>
      <c r="B47" s="73"/>
      <c r="C47" s="61"/>
      <c r="D47" s="80"/>
      <c r="E47" s="60"/>
      <c r="F47" s="80"/>
      <c r="H47" s="80"/>
      <c r="I47" s="80"/>
      <c r="J47" s="80"/>
      <c r="K47" s="151"/>
      <c r="L47" s="80"/>
      <c r="M47" s="80"/>
      <c r="N47" s="80"/>
    </row>
    <row r="48" spans="1:14" ht="16.5" customHeight="1" x14ac:dyDescent="0.25">
      <c r="A48" s="60" t="s">
        <v>61</v>
      </c>
      <c r="B48" s="75"/>
      <c r="C48" s="61"/>
      <c r="D48" s="80"/>
      <c r="E48" s="60"/>
      <c r="F48" s="80"/>
      <c r="H48" s="80"/>
      <c r="I48" s="80"/>
      <c r="J48" s="80"/>
      <c r="K48" s="151"/>
      <c r="L48" s="80"/>
      <c r="M48" s="80"/>
      <c r="N48" s="80"/>
    </row>
    <row r="49" spans="1:14" ht="16.5" customHeight="1" x14ac:dyDescent="0.25">
      <c r="A49" s="60"/>
      <c r="B49" s="75"/>
      <c r="C49" s="61"/>
      <c r="D49" s="80"/>
      <c r="E49" s="60"/>
      <c r="F49" s="80"/>
      <c r="H49" s="80"/>
      <c r="I49" s="80"/>
      <c r="J49" s="80"/>
      <c r="K49" s="151"/>
      <c r="L49" s="80"/>
      <c r="M49" s="80"/>
      <c r="N49" s="80"/>
    </row>
    <row r="50" spans="1:14" x14ac:dyDescent="0.25">
      <c r="A50" s="62" t="s">
        <v>32</v>
      </c>
      <c r="B50" s="63"/>
      <c r="C50" s="74">
        <v>0.02</v>
      </c>
      <c r="D50" s="81">
        <f>+D21*$C50</f>
        <v>1716000</v>
      </c>
      <c r="E50" s="146">
        <f>+E21*$C50</f>
        <v>1947000</v>
      </c>
      <c r="F50" s="81">
        <f>+F21*$C50</f>
        <v>2244000</v>
      </c>
      <c r="G50" s="158"/>
      <c r="H50" s="81">
        <f>+H21*$C50</f>
        <v>2642640</v>
      </c>
      <c r="I50" s="81">
        <f>+I21*$C50</f>
        <v>2998380</v>
      </c>
      <c r="J50" s="81">
        <f>+J21*$C50</f>
        <v>3455760.0000000005</v>
      </c>
      <c r="K50" s="158"/>
      <c r="L50" s="81">
        <f>+L21*$C50</f>
        <v>3529812</v>
      </c>
      <c r="M50" s="81">
        <f>+M21*$C50</f>
        <v>4004979</v>
      </c>
      <c r="N50" s="81">
        <f>+N21*$C50</f>
        <v>4615908.0000000019</v>
      </c>
    </row>
    <row r="51" spans="1:14" x14ac:dyDescent="0.25">
      <c r="A51" s="60" t="s">
        <v>2</v>
      </c>
      <c r="D51" s="80"/>
      <c r="E51" s="60"/>
      <c r="F51" s="80"/>
      <c r="H51" s="80"/>
      <c r="I51" s="80"/>
      <c r="J51" s="80"/>
      <c r="K51" s="151"/>
      <c r="L51" s="80"/>
      <c r="M51" s="80"/>
      <c r="N51" s="80"/>
    </row>
    <row r="52" spans="1:14" x14ac:dyDescent="0.25">
      <c r="A52" s="60" t="s">
        <v>3</v>
      </c>
      <c r="D52" s="80"/>
      <c r="E52" s="60"/>
      <c r="F52" s="80"/>
      <c r="H52" s="80"/>
      <c r="I52" s="80"/>
      <c r="J52" s="80"/>
      <c r="K52" s="151"/>
      <c r="L52" s="80"/>
      <c r="M52" s="80"/>
      <c r="N52" s="80"/>
    </row>
    <row r="53" spans="1:14" ht="16.5" customHeight="1" x14ac:dyDescent="0.25">
      <c r="D53" s="80"/>
      <c r="E53" s="60"/>
      <c r="F53" s="80"/>
      <c r="H53" s="80"/>
      <c r="I53" s="80"/>
      <c r="J53" s="80"/>
      <c r="K53" s="151"/>
      <c r="L53" s="80"/>
      <c r="M53" s="80"/>
      <c r="N53" s="80"/>
    </row>
    <row r="54" spans="1:14" x14ac:dyDescent="0.25">
      <c r="A54" s="71" t="s">
        <v>46</v>
      </c>
      <c r="B54" s="6"/>
      <c r="C54" s="61">
        <v>0.19</v>
      </c>
      <c r="D54" s="81">
        <f>+D21*$C54</f>
        <v>16302000</v>
      </c>
      <c r="E54" s="146">
        <f>+(D54*$E$5)+D54</f>
        <v>17117100</v>
      </c>
      <c r="F54" s="146">
        <f>+(E54*$E$5)+E54</f>
        <v>17972955</v>
      </c>
      <c r="G54" s="158"/>
      <c r="H54" s="81">
        <f>+(D54*$E$6)+D54</f>
        <v>18258240</v>
      </c>
      <c r="I54" s="81">
        <f>+(H54*$E$5)+H54</f>
        <v>19171152</v>
      </c>
      <c r="J54" s="81">
        <f>+(I54*$E$5)+I54</f>
        <v>20129709.600000001</v>
      </c>
      <c r="K54" s="158"/>
      <c r="L54" s="81">
        <f>+(D54*$E$7)+D54</f>
        <v>20377500</v>
      </c>
      <c r="M54" s="81">
        <f>+(L54*$E$5)+L54</f>
        <v>21396375</v>
      </c>
      <c r="N54" s="81">
        <f>+(M54*$E$5)+M54</f>
        <v>22466193.75</v>
      </c>
    </row>
    <row r="55" spans="1:14" x14ac:dyDescent="0.25">
      <c r="A55" s="60" t="s">
        <v>43</v>
      </c>
      <c r="B55" s="162">
        <v>250000</v>
      </c>
      <c r="C55" s="61"/>
      <c r="D55" s="81"/>
      <c r="E55" s="146"/>
      <c r="F55" s="81"/>
      <c r="G55" s="158"/>
      <c r="H55" s="81"/>
      <c r="I55" s="81"/>
      <c r="J55" s="81"/>
      <c r="K55" s="158"/>
      <c r="L55" s="81"/>
      <c r="M55" s="81"/>
      <c r="N55" s="81"/>
    </row>
    <row r="56" spans="1:14" x14ac:dyDescent="0.25">
      <c r="A56" s="60" t="s">
        <v>44</v>
      </c>
      <c r="B56" s="162">
        <v>750000</v>
      </c>
      <c r="C56" s="61"/>
      <c r="D56" s="81"/>
      <c r="E56" s="146"/>
      <c r="F56" s="81"/>
      <c r="G56" s="158"/>
      <c r="H56" s="81"/>
      <c r="I56" s="81"/>
      <c r="J56" s="81"/>
      <c r="K56" s="158"/>
      <c r="L56" s="81"/>
      <c r="M56" s="81"/>
      <c r="N56" s="81"/>
    </row>
    <row r="57" spans="1:14" x14ac:dyDescent="0.25">
      <c r="A57" s="60" t="s">
        <v>45</v>
      </c>
      <c r="B57" s="162">
        <v>120000</v>
      </c>
      <c r="C57" s="61"/>
      <c r="D57" s="86"/>
      <c r="E57" s="146"/>
      <c r="F57" s="81"/>
      <c r="G57" s="158"/>
      <c r="H57" s="86"/>
      <c r="I57" s="81"/>
      <c r="J57" s="81"/>
      <c r="K57" s="158"/>
      <c r="L57" s="86"/>
      <c r="M57" s="81"/>
      <c r="N57" s="81"/>
    </row>
    <row r="58" spans="1:14" x14ac:dyDescent="0.25">
      <c r="A58" s="60" t="s">
        <v>73</v>
      </c>
      <c r="B58" s="162">
        <v>238000</v>
      </c>
      <c r="C58" s="61"/>
      <c r="D58" s="86"/>
      <c r="E58" s="146"/>
      <c r="F58" s="81"/>
      <c r="G58" s="158"/>
      <c r="H58" s="86"/>
      <c r="I58" s="81"/>
      <c r="J58" s="81"/>
      <c r="K58" s="158"/>
      <c r="L58" s="86"/>
      <c r="M58" s="81"/>
      <c r="N58" s="81"/>
    </row>
    <row r="59" spans="1:14" x14ac:dyDescent="0.25">
      <c r="A59" s="60"/>
      <c r="B59" s="162"/>
      <c r="C59" s="61"/>
      <c r="D59" s="86"/>
      <c r="E59" s="146"/>
      <c r="F59" s="81"/>
      <c r="G59" s="158"/>
      <c r="H59" s="86"/>
      <c r="I59" s="81"/>
      <c r="J59" s="81"/>
      <c r="K59" s="158"/>
      <c r="L59" s="86"/>
      <c r="M59" s="81"/>
      <c r="N59" s="81"/>
    </row>
    <row r="60" spans="1:14" x14ac:dyDescent="0.25">
      <c r="A60" s="71" t="s">
        <v>106</v>
      </c>
      <c r="B60" s="162"/>
      <c r="C60" s="61"/>
      <c r="D60" s="86"/>
      <c r="E60" s="146"/>
      <c r="F60" s="81"/>
      <c r="G60" s="158"/>
      <c r="H60" s="86"/>
      <c r="I60" s="81"/>
      <c r="J60" s="81"/>
      <c r="K60" s="158"/>
      <c r="L60" s="86"/>
      <c r="M60" s="81"/>
      <c r="N60" s="81"/>
    </row>
    <row r="61" spans="1:14" x14ac:dyDescent="0.25">
      <c r="A61" s="60" t="s">
        <v>107</v>
      </c>
      <c r="B61" s="224">
        <v>6.0000000000000001E-3</v>
      </c>
      <c r="D61" s="225">
        <f>+$B$95*$B$61</f>
        <v>4082548.284</v>
      </c>
      <c r="E61" s="226">
        <f>+$C$95*$B$61</f>
        <v>4977000</v>
      </c>
      <c r="F61" s="225">
        <f>+$D$95*$B$61</f>
        <v>5520240</v>
      </c>
      <c r="G61" s="158"/>
      <c r="H61" s="225">
        <f>+$B$95*$B$61</f>
        <v>4082548.284</v>
      </c>
      <c r="I61" s="225">
        <f>+$C$95*$B$61</f>
        <v>4977000</v>
      </c>
      <c r="J61" s="225">
        <f>+$D$95*$B$61</f>
        <v>5520240</v>
      </c>
      <c r="K61" s="158"/>
      <c r="L61" s="225">
        <f>+$B$95*$B$61</f>
        <v>4082548.284</v>
      </c>
      <c r="M61" s="225">
        <f>+$C$95*$B$61</f>
        <v>4977000</v>
      </c>
      <c r="N61" s="225">
        <f>+$D$95*$B$61</f>
        <v>5520240</v>
      </c>
    </row>
    <row r="62" spans="1:14" x14ac:dyDescent="0.25">
      <c r="A62" s="60" t="s">
        <v>108</v>
      </c>
      <c r="B62" s="162"/>
      <c r="C62" s="61"/>
      <c r="D62" s="86"/>
      <c r="E62" s="146"/>
      <c r="F62" s="81"/>
      <c r="G62" s="158"/>
      <c r="H62" s="86"/>
      <c r="I62" s="81"/>
      <c r="J62" s="81"/>
      <c r="K62" s="158"/>
      <c r="L62" s="86"/>
      <c r="M62" s="81"/>
      <c r="N62" s="81"/>
    </row>
    <row r="63" spans="1:14" x14ac:dyDescent="0.25">
      <c r="A63" s="60"/>
      <c r="B63" s="162"/>
      <c r="C63" s="61"/>
      <c r="D63" s="86"/>
      <c r="E63" s="146"/>
      <c r="F63" s="81"/>
      <c r="G63" s="158"/>
      <c r="H63" s="86"/>
      <c r="I63" s="81"/>
      <c r="J63" s="81"/>
      <c r="K63" s="158"/>
      <c r="L63" s="86"/>
      <c r="M63" s="81"/>
      <c r="N63" s="81"/>
    </row>
    <row r="64" spans="1:14" ht="15.75" thickBot="1" x14ac:dyDescent="0.3">
      <c r="A64" s="60"/>
      <c r="D64" s="87"/>
      <c r="E64" s="148"/>
      <c r="F64" s="82"/>
      <c r="H64" s="87"/>
      <c r="I64" s="82"/>
      <c r="J64" s="82"/>
      <c r="K64" s="151"/>
      <c r="L64" s="87"/>
      <c r="M64" s="82"/>
      <c r="N64" s="82"/>
    </row>
    <row r="65" spans="1:14" ht="20.25" customHeight="1" thickBot="1" x14ac:dyDescent="0.3">
      <c r="A65" s="54" t="s">
        <v>31</v>
      </c>
      <c r="B65" s="53"/>
      <c r="C65" s="53"/>
      <c r="D65" s="83">
        <f>SUM(D32:D64)</f>
        <v>24846148.284000002</v>
      </c>
      <c r="E65" s="149">
        <f>SUM(E33:E64)</f>
        <v>27156300</v>
      </c>
      <c r="F65" s="85">
        <f>SUM(F33:F64)</f>
        <v>29327595</v>
      </c>
      <c r="G65" s="160"/>
      <c r="H65" s="83">
        <f>SUM(H32:H64)</f>
        <v>29211652.284000002</v>
      </c>
      <c r="I65" s="85">
        <f>SUM(I33:I64)</f>
        <v>31943940</v>
      </c>
      <c r="J65" s="85">
        <f>SUM(J33:J64)</f>
        <v>34634925.600000001</v>
      </c>
      <c r="K65" s="160"/>
      <c r="L65" s="83">
        <f>SUM(L32:L64)</f>
        <v>33637559.483999997</v>
      </c>
      <c r="M65" s="85">
        <f>SUM(M33:M64)</f>
        <v>36786320.399999999</v>
      </c>
      <c r="N65" s="85">
        <f>SUM(N33:N64)</f>
        <v>39987794.550000004</v>
      </c>
    </row>
    <row r="66" spans="1:14" ht="15.75" thickBot="1" x14ac:dyDescent="0.3">
      <c r="A66" s="60"/>
      <c r="D66" s="80"/>
      <c r="E66" s="60"/>
      <c r="F66" s="80"/>
      <c r="H66" s="80"/>
      <c r="I66" s="80"/>
      <c r="J66" s="80"/>
      <c r="K66" s="151"/>
      <c r="L66" s="80"/>
      <c r="M66" s="80"/>
      <c r="N66" s="80"/>
    </row>
    <row r="67" spans="1:14" ht="23.25" customHeight="1" thickBot="1" x14ac:dyDescent="0.3">
      <c r="A67" s="54" t="s">
        <v>33</v>
      </c>
      <c r="B67" s="59"/>
      <c r="C67" s="59"/>
      <c r="D67" s="55">
        <f>+D31-D65</f>
        <v>48941851.715999998</v>
      </c>
      <c r="E67" s="150">
        <f>+E31-E65</f>
        <v>56564700</v>
      </c>
      <c r="F67" s="55">
        <f>+F31-F65</f>
        <v>67164405</v>
      </c>
      <c r="G67" s="157"/>
      <c r="H67" s="55">
        <f>+H31-H65</f>
        <v>84421867.715999991</v>
      </c>
      <c r="I67" s="55">
        <f>+I31-I65</f>
        <v>96986400</v>
      </c>
      <c r="J67" s="55">
        <f>+J31-J65</f>
        <v>113962754.40000004</v>
      </c>
      <c r="K67" s="157"/>
      <c r="L67" s="55">
        <f>+L31-L65</f>
        <v>118144356.516</v>
      </c>
      <c r="M67" s="55">
        <f>+M31-M65</f>
        <v>135427776.59999999</v>
      </c>
      <c r="N67" s="55">
        <f>+N31-N65</f>
        <v>158496249.45000008</v>
      </c>
    </row>
    <row r="68" spans="1:14" ht="19.5" customHeight="1" x14ac:dyDescent="0.25">
      <c r="A68" s="60" t="s">
        <v>34</v>
      </c>
      <c r="C68" s="61"/>
      <c r="D68" s="57">
        <f>+D67*$C$68</f>
        <v>0</v>
      </c>
      <c r="E68" s="141">
        <f>+E67*$C$68</f>
        <v>0</v>
      </c>
      <c r="F68" s="57">
        <f>+F67*$C$68</f>
        <v>0</v>
      </c>
      <c r="G68" s="41"/>
      <c r="H68" s="57">
        <f>+H67*$C$68</f>
        <v>0</v>
      </c>
      <c r="I68" s="57">
        <f>+I67*$C$68</f>
        <v>0</v>
      </c>
      <c r="J68" s="57">
        <f>+J67*$C$68</f>
        <v>0</v>
      </c>
      <c r="K68" s="41"/>
      <c r="L68" s="57">
        <f>+L67*$C$68</f>
        <v>0</v>
      </c>
      <c r="M68" s="57">
        <f>+M67*$C$68</f>
        <v>0</v>
      </c>
      <c r="N68" s="57">
        <f>+N67*$C$68</f>
        <v>0</v>
      </c>
    </row>
    <row r="69" spans="1:14" ht="15.75" thickBot="1" x14ac:dyDescent="0.3">
      <c r="A69" s="60"/>
      <c r="D69" s="80"/>
      <c r="E69" s="60"/>
      <c r="F69" s="80"/>
      <c r="H69" s="80"/>
      <c r="I69" s="80"/>
      <c r="J69" s="80"/>
      <c r="K69" s="151"/>
      <c r="L69" s="80"/>
      <c r="M69" s="80"/>
      <c r="N69" s="80"/>
    </row>
    <row r="70" spans="1:14" ht="19.5" customHeight="1" thickBot="1" x14ac:dyDescent="0.3">
      <c r="A70" s="54" t="s">
        <v>74</v>
      </c>
      <c r="B70" s="53"/>
      <c r="C70" s="53"/>
      <c r="D70" s="55">
        <f>+D67-D68</f>
        <v>48941851.715999998</v>
      </c>
      <c r="E70" s="150">
        <f>+E67-E68</f>
        <v>56564700</v>
      </c>
      <c r="F70" s="55">
        <f>+F67-F68</f>
        <v>67164405</v>
      </c>
      <c r="G70" s="157"/>
      <c r="H70" s="55">
        <f>+H67-H68</f>
        <v>84421867.715999991</v>
      </c>
      <c r="I70" s="55">
        <f>+I67-I68</f>
        <v>96986400</v>
      </c>
      <c r="J70" s="55">
        <f>+J67-J68</f>
        <v>113962754.40000004</v>
      </c>
      <c r="K70" s="157"/>
      <c r="L70" s="55">
        <f>+L67-L68</f>
        <v>118144356.516</v>
      </c>
      <c r="M70" s="55">
        <f>+M67-M68</f>
        <v>135427776.59999999</v>
      </c>
      <c r="N70" s="55">
        <f>+N67-N68</f>
        <v>158496249.45000008</v>
      </c>
    </row>
    <row r="71" spans="1:14" x14ac:dyDescent="0.25">
      <c r="A71" s="60"/>
      <c r="D71" s="80"/>
      <c r="E71" s="60"/>
      <c r="F71" s="80"/>
      <c r="H71" s="80"/>
      <c r="I71" s="80"/>
      <c r="J71" s="80"/>
      <c r="K71" s="151"/>
      <c r="L71" s="80"/>
      <c r="M71" s="80"/>
      <c r="N71" s="80"/>
    </row>
    <row r="72" spans="1:14" x14ac:dyDescent="0.25">
      <c r="A72" s="60"/>
      <c r="C72" s="61"/>
      <c r="D72" s="57"/>
      <c r="E72" s="141"/>
      <c r="F72" s="57"/>
      <c r="G72" s="41"/>
      <c r="H72" s="57"/>
      <c r="I72" s="57"/>
      <c r="J72" s="57"/>
      <c r="K72" s="41"/>
      <c r="L72" s="57"/>
      <c r="M72" s="57"/>
      <c r="N72" s="57"/>
    </row>
    <row r="73" spans="1:14" ht="15.75" thickBot="1" x14ac:dyDescent="0.3">
      <c r="A73" s="60" t="s">
        <v>35</v>
      </c>
      <c r="B73" s="67">
        <v>0.11</v>
      </c>
      <c r="C73" s="61">
        <v>0.11</v>
      </c>
      <c r="D73" s="81">
        <f>+D23*C73</f>
        <v>9438000</v>
      </c>
      <c r="E73" s="146">
        <f>+E23*C73</f>
        <v>10708500</v>
      </c>
      <c r="F73" s="81">
        <f>+F23*$C$73</f>
        <v>12342000</v>
      </c>
      <c r="G73" s="158"/>
      <c r="H73" s="81">
        <f>+H23*C73</f>
        <v>14534520</v>
      </c>
      <c r="I73" s="81">
        <f>+I23*C73</f>
        <v>16491090</v>
      </c>
      <c r="J73" s="81">
        <f>+J23*$C$73</f>
        <v>19006680.000000004</v>
      </c>
      <c r="K73" s="158"/>
      <c r="L73" s="81">
        <f>+L23*$C$73</f>
        <v>19413966</v>
      </c>
      <c r="M73" s="81">
        <f>+M23*$C$73</f>
        <v>22027384.5</v>
      </c>
      <c r="N73" s="81">
        <f>+N23*$C$73</f>
        <v>25387494.000000011</v>
      </c>
    </row>
    <row r="74" spans="1:14" ht="15.75" thickBot="1" x14ac:dyDescent="0.3">
      <c r="A74" s="54" t="s">
        <v>75</v>
      </c>
      <c r="B74" s="53"/>
      <c r="C74" s="53"/>
      <c r="D74" s="55">
        <f>+D70-D72-D73</f>
        <v>39503851.715999998</v>
      </c>
      <c r="E74" s="150">
        <f>+E70-E72-E73</f>
        <v>45856200</v>
      </c>
      <c r="F74" s="55">
        <f>+F70-F72-F73</f>
        <v>54822405</v>
      </c>
      <c r="G74" s="157"/>
      <c r="H74" s="55">
        <f>+H70-H72-H73</f>
        <v>69887347.715999991</v>
      </c>
      <c r="I74" s="55">
        <f>+I70-I72-I73</f>
        <v>80495310</v>
      </c>
      <c r="J74" s="55">
        <f>+J70-J72-J73</f>
        <v>94956074.400000036</v>
      </c>
      <c r="K74" s="157"/>
      <c r="L74" s="55">
        <f>+L70-L72-L73</f>
        <v>98730390.516000003</v>
      </c>
      <c r="M74" s="55">
        <f>+M70-M72-M73</f>
        <v>113400392.09999999</v>
      </c>
      <c r="N74" s="55">
        <f>+N70-N72-N73</f>
        <v>133108755.45000006</v>
      </c>
    </row>
    <row r="75" spans="1:14" ht="15.75" thickBot="1" x14ac:dyDescent="0.3">
      <c r="A75" s="54" t="s">
        <v>76</v>
      </c>
      <c r="B75" s="53"/>
      <c r="C75" s="53"/>
      <c r="D75" s="55">
        <f>+D74/12</f>
        <v>3291987.6429999997</v>
      </c>
      <c r="E75" s="150">
        <f>+E74/12</f>
        <v>3821350</v>
      </c>
      <c r="F75" s="55">
        <f>+F74/12</f>
        <v>4568533.75</v>
      </c>
      <c r="G75" s="157"/>
      <c r="H75" s="55">
        <f>+H74/12</f>
        <v>5823945.6429999992</v>
      </c>
      <c r="I75" s="55">
        <f>+I74/12</f>
        <v>6707942.5</v>
      </c>
      <c r="J75" s="55">
        <f>+J74/12</f>
        <v>7913006.200000003</v>
      </c>
      <c r="K75" s="157"/>
      <c r="L75" s="55">
        <f>+L74/12</f>
        <v>8227532.5430000005</v>
      </c>
      <c r="M75" s="55">
        <f>+M74/12</f>
        <v>9450032.6749999989</v>
      </c>
      <c r="N75" s="55">
        <f>+N74/12</f>
        <v>11092396.287500005</v>
      </c>
    </row>
    <row r="77" spans="1:14" ht="15.75" thickBot="1" x14ac:dyDescent="0.3"/>
    <row r="78" spans="1:14" ht="16.5" thickBot="1" x14ac:dyDescent="0.3">
      <c r="A78" s="204" t="s">
        <v>77</v>
      </c>
      <c r="B78" s="205"/>
      <c r="C78" s="205"/>
      <c r="D78" s="206"/>
      <c r="E78" s="248"/>
      <c r="F78" s="195"/>
      <c r="G78" s="195"/>
      <c r="H78" s="194"/>
      <c r="I78" s="194"/>
      <c r="J78" s="194"/>
      <c r="K78" s="194"/>
      <c r="L78" s="194"/>
      <c r="M78" s="194"/>
      <c r="N78" s="194"/>
    </row>
    <row r="79" spans="1:14" ht="15.75" thickBot="1" x14ac:dyDescent="0.3">
      <c r="A79" s="249" t="s">
        <v>78</v>
      </c>
      <c r="B79" s="37" t="s">
        <v>98</v>
      </c>
      <c r="C79" s="137" t="s">
        <v>93</v>
      </c>
      <c r="D79" s="37" t="s">
        <v>99</v>
      </c>
      <c r="E79" s="153"/>
      <c r="F79" s="195"/>
      <c r="G79" s="195"/>
      <c r="H79" s="194"/>
      <c r="I79" s="194"/>
      <c r="J79" s="194"/>
      <c r="K79" s="194"/>
      <c r="L79" s="194"/>
      <c r="M79" s="194"/>
      <c r="N79" s="194"/>
    </row>
    <row r="80" spans="1:14" x14ac:dyDescent="0.25">
      <c r="A80" s="178" t="s">
        <v>24</v>
      </c>
      <c r="B80" s="168">
        <f>+D75</f>
        <v>3291987.6429999997</v>
      </c>
      <c r="C80" s="168">
        <f>+E75</f>
        <v>3821350</v>
      </c>
      <c r="D80" s="240">
        <f>+F75</f>
        <v>4568533.75</v>
      </c>
      <c r="E80" s="160"/>
      <c r="F80" s="195"/>
      <c r="G80" s="195"/>
      <c r="H80" s="194"/>
      <c r="I80" s="194"/>
      <c r="J80" s="194"/>
      <c r="K80" s="194"/>
      <c r="L80" s="194"/>
      <c r="M80" s="194"/>
      <c r="N80" s="194"/>
    </row>
    <row r="81" spans="1:14" x14ac:dyDescent="0.25">
      <c r="A81" s="178" t="s">
        <v>79</v>
      </c>
      <c r="B81" s="169">
        <f>+H75</f>
        <v>5823945.6429999992</v>
      </c>
      <c r="C81" s="169">
        <f>+I75</f>
        <v>6707942.5</v>
      </c>
      <c r="D81" s="240">
        <f>+J75</f>
        <v>7913006.200000003</v>
      </c>
      <c r="E81" s="160"/>
      <c r="F81" s="195"/>
      <c r="G81" s="195"/>
      <c r="H81" s="194"/>
      <c r="I81" s="194"/>
      <c r="J81" s="194"/>
      <c r="K81" s="194"/>
      <c r="L81" s="194"/>
      <c r="M81" s="194"/>
      <c r="N81" s="194"/>
    </row>
    <row r="82" spans="1:14" ht="16.5" thickBot="1" x14ac:dyDescent="0.3">
      <c r="A82" s="252" t="s">
        <v>80</v>
      </c>
      <c r="B82" s="251">
        <f>+L75</f>
        <v>8227532.5430000005</v>
      </c>
      <c r="C82" s="251">
        <f>+M75</f>
        <v>9450032.6749999989</v>
      </c>
      <c r="D82" s="250">
        <f>+N75</f>
        <v>11092396.287500005</v>
      </c>
      <c r="E82" s="247"/>
      <c r="F82" s="195"/>
      <c r="G82" s="194"/>
      <c r="H82" s="194"/>
      <c r="I82" s="194"/>
      <c r="J82" s="194"/>
      <c r="K82" s="194"/>
      <c r="L82" s="194"/>
      <c r="M82" s="194"/>
      <c r="N82" s="194"/>
    </row>
    <row r="83" spans="1:14" x14ac:dyDescent="0.25">
      <c r="E83" s="151"/>
      <c r="G83"/>
    </row>
    <row r="84" spans="1:14" ht="15.75" thickBot="1" x14ac:dyDescent="0.3">
      <c r="G84"/>
    </row>
    <row r="85" spans="1:14" ht="17.25" customHeight="1" thickBot="1" x14ac:dyDescent="0.3">
      <c r="A85" s="209" t="s">
        <v>89</v>
      </c>
      <c r="B85" s="210"/>
      <c r="C85" s="210"/>
      <c r="D85" s="211"/>
      <c r="E85" s="176"/>
      <c r="G85" s="133"/>
      <c r="H85" s="133"/>
      <c r="I85" s="133"/>
      <c r="J85" s="133"/>
      <c r="K85" s="133"/>
      <c r="L85" s="133"/>
      <c r="M85" s="133"/>
      <c r="N85" s="133"/>
    </row>
    <row r="86" spans="1:14" ht="24.75" customHeight="1" thickBot="1" x14ac:dyDescent="0.3">
      <c r="A86" s="256" t="s">
        <v>78</v>
      </c>
      <c r="B86" s="197" t="s">
        <v>90</v>
      </c>
      <c r="C86" s="201"/>
      <c r="D86" s="198"/>
      <c r="E86" s="175"/>
      <c r="F86" s="153"/>
      <c r="G86" s="153"/>
      <c r="H86" s="151"/>
      <c r="I86" s="151"/>
      <c r="J86" s="133"/>
      <c r="K86" s="133"/>
      <c r="L86" s="133"/>
      <c r="M86" s="133"/>
      <c r="N86" s="133"/>
    </row>
    <row r="87" spans="1:14" ht="24.75" customHeight="1" thickBot="1" x14ac:dyDescent="0.3">
      <c r="A87" s="257"/>
      <c r="B87" s="37" t="s">
        <v>98</v>
      </c>
      <c r="C87" s="137" t="s">
        <v>93</v>
      </c>
      <c r="D87" s="37" t="s">
        <v>99</v>
      </c>
      <c r="E87" s="153"/>
      <c r="F87" s="153"/>
      <c r="G87" s="153"/>
      <c r="H87" s="153"/>
      <c r="I87" s="153"/>
      <c r="J87" s="133"/>
      <c r="K87" s="133"/>
      <c r="L87" s="133"/>
      <c r="M87" s="133"/>
      <c r="N87" s="133"/>
    </row>
    <row r="88" spans="1:14" ht="18" customHeight="1" x14ac:dyDescent="0.25">
      <c r="A88" s="253" t="s">
        <v>24</v>
      </c>
      <c r="B88" s="254">
        <f>+D74</f>
        <v>39503851.715999998</v>
      </c>
      <c r="C88" s="179">
        <f>+E74</f>
        <v>45856200</v>
      </c>
      <c r="D88" s="255">
        <f>+F74</f>
        <v>54822405</v>
      </c>
      <c r="E88" s="160"/>
      <c r="F88" s="160"/>
      <c r="G88" s="160"/>
      <c r="H88" s="160"/>
      <c r="I88" s="160"/>
      <c r="J88" s="133"/>
      <c r="K88" s="133"/>
      <c r="L88" s="133"/>
      <c r="M88" s="133"/>
      <c r="N88" s="133"/>
    </row>
    <row r="89" spans="1:14" x14ac:dyDescent="0.25">
      <c r="A89" s="239" t="s">
        <v>79</v>
      </c>
      <c r="B89" s="214">
        <f>+H74</f>
        <v>69887347.715999991</v>
      </c>
      <c r="C89" s="169">
        <f>+I74</f>
        <v>80495310</v>
      </c>
      <c r="D89" s="240">
        <f>+J74</f>
        <v>94956074.400000036</v>
      </c>
      <c r="E89" s="160"/>
      <c r="F89" s="160"/>
      <c r="G89" s="160"/>
      <c r="H89" s="160"/>
      <c r="I89" s="160"/>
      <c r="J89" s="133"/>
      <c r="K89" s="133"/>
      <c r="L89" s="133"/>
      <c r="M89" s="133"/>
      <c r="N89" s="133"/>
    </row>
    <row r="90" spans="1:14" ht="15.75" thickBot="1" x14ac:dyDescent="0.3">
      <c r="A90" s="241" t="s">
        <v>80</v>
      </c>
      <c r="B90" s="242">
        <f>+L74</f>
        <v>98730390.516000003</v>
      </c>
      <c r="C90" s="170">
        <f>+M74</f>
        <v>113400392.09999999</v>
      </c>
      <c r="D90" s="243">
        <f>+N74</f>
        <v>133108755.45000006</v>
      </c>
      <c r="E90" s="160"/>
      <c r="F90" s="160"/>
      <c r="G90" s="160"/>
      <c r="H90" s="160"/>
      <c r="I90" s="160"/>
      <c r="J90" s="133"/>
      <c r="K90" s="133"/>
      <c r="L90" s="133"/>
      <c r="M90" s="133"/>
      <c r="N90" s="133"/>
    </row>
    <row r="91" spans="1:14" x14ac:dyDescent="0.25">
      <c r="G91"/>
    </row>
    <row r="92" spans="1:14" ht="15.75" thickBot="1" x14ac:dyDescent="0.3">
      <c r="G92"/>
    </row>
    <row r="93" spans="1:14" ht="23.25" customHeight="1" thickBot="1" x14ac:dyDescent="0.3">
      <c r="A93" s="209" t="s">
        <v>91</v>
      </c>
      <c r="B93" s="210"/>
      <c r="C93" s="210"/>
      <c r="D93" s="211"/>
      <c r="E93" s="176"/>
      <c r="F93" s="181"/>
      <c r="G93"/>
    </row>
    <row r="94" spans="1:14" ht="23.25" customHeight="1" thickBot="1" x14ac:dyDescent="0.3">
      <c r="A94" s="244"/>
      <c r="B94" s="37" t="s">
        <v>98</v>
      </c>
      <c r="C94" s="137" t="s">
        <v>93</v>
      </c>
      <c r="D94" s="37" t="s">
        <v>99</v>
      </c>
      <c r="E94" s="153"/>
      <c r="F94" s="153"/>
      <c r="G94"/>
    </row>
    <row r="95" spans="1:14" ht="25.5" customHeight="1" thickBot="1" x14ac:dyDescent="0.3">
      <c r="A95" s="241" t="s">
        <v>84</v>
      </c>
      <c r="B95" s="193">
        <v>680424714</v>
      </c>
      <c r="C95" s="193">
        <v>829500000</v>
      </c>
      <c r="D95" s="245">
        <v>920040000</v>
      </c>
      <c r="E95" s="215"/>
      <c r="F95" s="215"/>
      <c r="G95"/>
    </row>
    <row r="96" spans="1:14" x14ac:dyDescent="0.25">
      <c r="G96"/>
    </row>
    <row r="97" spans="1:14" x14ac:dyDescent="0.25">
      <c r="G97"/>
    </row>
    <row r="98" spans="1:14" ht="23.25" customHeight="1" x14ac:dyDescent="0.25">
      <c r="A98" s="199" t="s">
        <v>92</v>
      </c>
      <c r="B98" s="200"/>
      <c r="C98" s="200"/>
      <c r="D98" s="200"/>
      <c r="E98" s="133"/>
      <c r="G98" s="133"/>
      <c r="H98" s="133"/>
      <c r="I98" s="133"/>
      <c r="J98" s="133"/>
      <c r="K98" s="133"/>
      <c r="L98" s="133"/>
      <c r="M98" s="133"/>
      <c r="N98" s="133"/>
    </row>
    <row r="99" spans="1:14" ht="15.75" thickBot="1" x14ac:dyDescent="0.3">
      <c r="A99" s="191"/>
      <c r="B99" s="133"/>
      <c r="C99" s="133"/>
      <c r="D99" s="133"/>
      <c r="E99" s="133"/>
      <c r="G99" s="133"/>
      <c r="H99" s="133"/>
      <c r="I99" s="133"/>
      <c r="J99" s="133"/>
      <c r="K99" s="133"/>
      <c r="L99" s="133"/>
      <c r="M99" s="133"/>
      <c r="N99" s="133"/>
    </row>
    <row r="100" spans="1:14" ht="15.75" thickBot="1" x14ac:dyDescent="0.3">
      <c r="A100" s="202" t="s">
        <v>78</v>
      </c>
      <c r="B100" s="197" t="s">
        <v>86</v>
      </c>
      <c r="C100" s="201"/>
      <c r="D100" s="198"/>
      <c r="E100" s="175"/>
      <c r="J100" s="133"/>
      <c r="K100" s="133"/>
      <c r="L100" s="133"/>
      <c r="M100" s="133"/>
      <c r="N100" s="133"/>
    </row>
    <row r="101" spans="1:14" ht="15.75" thickBot="1" x14ac:dyDescent="0.3">
      <c r="A101" s="203"/>
      <c r="B101" s="37" t="s">
        <v>98</v>
      </c>
      <c r="C101" s="137" t="s">
        <v>93</v>
      </c>
      <c r="D101" s="37" t="s">
        <v>99</v>
      </c>
      <c r="E101" s="153"/>
      <c r="J101" s="133"/>
      <c r="K101" s="133"/>
      <c r="L101" s="133"/>
      <c r="M101" s="133"/>
      <c r="N101" s="133"/>
    </row>
    <row r="102" spans="1:14" x14ac:dyDescent="0.25">
      <c r="A102" s="163" t="s">
        <v>24</v>
      </c>
      <c r="B102" s="216">
        <f>+D75/$B$95</f>
        <v>4.8381364980814023E-3</v>
      </c>
      <c r="C102" s="180">
        <f>+E75/$C$95</f>
        <v>4.6068113321277877E-3</v>
      </c>
      <c r="D102" s="217">
        <f>+F75/$D$95</f>
        <v>4.9655816594930654E-3</v>
      </c>
      <c r="E102" s="246"/>
      <c r="J102" s="133"/>
      <c r="K102" s="133"/>
      <c r="L102" s="133"/>
      <c r="M102" s="133"/>
      <c r="N102" s="133"/>
    </row>
    <row r="103" spans="1:14" x14ac:dyDescent="0.25">
      <c r="A103" s="163" t="s">
        <v>79</v>
      </c>
      <c r="B103" s="218">
        <f>+H75/$B$95</f>
        <v>8.5592799955234999E-3</v>
      </c>
      <c r="C103" s="167">
        <f>+I75/$C$95</f>
        <v>8.0867299578059066E-3</v>
      </c>
      <c r="D103" s="219">
        <f>+J75/$D$95</f>
        <v>8.6007197513151626E-3</v>
      </c>
      <c r="E103" s="246"/>
      <c r="J103" s="133"/>
      <c r="K103" s="133"/>
      <c r="L103" s="133"/>
      <c r="M103" s="133"/>
      <c r="N103" s="133"/>
    </row>
    <row r="104" spans="1:14" ht="15.75" thickBot="1" x14ac:dyDescent="0.3">
      <c r="A104" s="164" t="s">
        <v>80</v>
      </c>
      <c r="B104" s="220">
        <f>+L75/$B$95</f>
        <v>1.2091760298700733E-2</v>
      </c>
      <c r="C104" s="221">
        <f>+M75/$C$95</f>
        <v>1.1392444454490655E-2</v>
      </c>
      <c r="D104" s="222">
        <f>+N75/$D$95</f>
        <v>1.2056428293878532E-2</v>
      </c>
      <c r="E104" s="246"/>
      <c r="J104" s="133"/>
      <c r="K104" s="133"/>
      <c r="L104" s="133"/>
      <c r="M104" s="133"/>
      <c r="N104" s="133"/>
    </row>
    <row r="105" spans="1:14" x14ac:dyDescent="0.25">
      <c r="G105"/>
    </row>
    <row r="106" spans="1:14" ht="15.75" thickBot="1" x14ac:dyDescent="0.3">
      <c r="G106"/>
    </row>
    <row r="107" spans="1:14" x14ac:dyDescent="0.25">
      <c r="A107" s="202" t="s">
        <v>78</v>
      </c>
      <c r="B107" s="196" t="s">
        <v>87</v>
      </c>
      <c r="C107" s="177"/>
      <c r="D107" s="166"/>
    </row>
    <row r="108" spans="1:14" x14ac:dyDescent="0.25">
      <c r="A108" s="203"/>
      <c r="B108" s="192" t="s">
        <v>98</v>
      </c>
      <c r="C108" s="131" t="s">
        <v>93</v>
      </c>
      <c r="D108" s="165" t="s">
        <v>99</v>
      </c>
    </row>
    <row r="109" spans="1:14" x14ac:dyDescent="0.25">
      <c r="A109" s="163" t="s">
        <v>24</v>
      </c>
      <c r="B109" s="235">
        <f>+D74/$B$95</f>
        <v>5.8057637976976828E-2</v>
      </c>
      <c r="C109" s="233">
        <f>+E74/$C$95</f>
        <v>5.5281735985533452E-2</v>
      </c>
      <c r="D109" s="237">
        <f>+F74/$D$95</f>
        <v>5.9586979913916788E-2</v>
      </c>
    </row>
    <row r="110" spans="1:14" x14ac:dyDescent="0.25">
      <c r="A110" s="163" t="s">
        <v>79</v>
      </c>
      <c r="B110" s="235">
        <f>+H74/$B$95</f>
        <v>0.10271135994628201</v>
      </c>
      <c r="C110" s="233">
        <f>+I74/$C$95</f>
        <v>9.7040759493670886E-2</v>
      </c>
      <c r="D110" s="237">
        <f>+J74/$D$95</f>
        <v>0.10320863701578196</v>
      </c>
    </row>
    <row r="111" spans="1:14" ht="15.75" thickBot="1" x14ac:dyDescent="0.3">
      <c r="A111" s="164" t="s">
        <v>80</v>
      </c>
      <c r="B111" s="236">
        <f>+L74/$B$95</f>
        <v>0.1451011235844088</v>
      </c>
      <c r="C111" s="234">
        <f>+M74/$C$95</f>
        <v>0.13670933345388789</v>
      </c>
      <c r="D111" s="238">
        <f>+N74/$D$95</f>
        <v>0.1446771395265424</v>
      </c>
    </row>
  </sheetData>
  <mergeCells count="25">
    <mergeCell ref="A78:D78"/>
    <mergeCell ref="D15:F15"/>
    <mergeCell ref="H15:J15"/>
    <mergeCell ref="B86:D86"/>
    <mergeCell ref="A85:D85"/>
    <mergeCell ref="A93:D93"/>
    <mergeCell ref="A86:A87"/>
    <mergeCell ref="A98:D98"/>
    <mergeCell ref="A100:A101"/>
    <mergeCell ref="B100:D100"/>
    <mergeCell ref="B107:D107"/>
    <mergeCell ref="A107:A108"/>
    <mergeCell ref="A1:G1"/>
    <mergeCell ref="A2:G2"/>
    <mergeCell ref="A15:C16"/>
    <mergeCell ref="L15:N15"/>
    <mergeCell ref="A4:B4"/>
    <mergeCell ref="A23:C23"/>
    <mergeCell ref="A25:B25"/>
    <mergeCell ref="A17:C17"/>
    <mergeCell ref="A18:C18"/>
    <mergeCell ref="A19:C19"/>
    <mergeCell ref="A20:C20"/>
    <mergeCell ref="A21:C21"/>
    <mergeCell ref="A22:C22"/>
  </mergeCells>
  <pageMargins left="0.7" right="0.7" top="0.75" bottom="0.75" header="0.3" footer="0.3"/>
  <pageSetup orientation="portrait" horizontalDpi="360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H3:N16"/>
  <sheetViews>
    <sheetView workbookViewId="0">
      <selection activeCell="J14" sqref="J14"/>
    </sheetView>
  </sheetViews>
  <sheetFormatPr baseColWidth="10" defaultRowHeight="15" x14ac:dyDescent="0.25"/>
  <cols>
    <col min="10" max="10" width="16.85546875" bestFit="1" customWidth="1"/>
    <col min="13" max="13" width="15.140625" bestFit="1" customWidth="1"/>
  </cols>
  <sheetData>
    <row r="3" spans="8:14" x14ac:dyDescent="0.25">
      <c r="H3" s="67">
        <v>0.7</v>
      </c>
    </row>
    <row r="4" spans="8:14" x14ac:dyDescent="0.25">
      <c r="H4" t="s">
        <v>36</v>
      </c>
      <c r="I4" t="s">
        <v>37</v>
      </c>
    </row>
    <row r="5" spans="8:14" x14ac:dyDescent="0.25">
      <c r="H5">
        <v>30</v>
      </c>
      <c r="I5" s="64">
        <v>800000</v>
      </c>
      <c r="J5" s="65">
        <f>+H5*I5</f>
        <v>24000000</v>
      </c>
    </row>
    <row r="6" spans="8:14" x14ac:dyDescent="0.25">
      <c r="J6" s="64">
        <f>+J5*H3</f>
        <v>16800000</v>
      </c>
      <c r="K6" s="66">
        <f>+H3</f>
        <v>0.7</v>
      </c>
    </row>
    <row r="7" spans="8:14" x14ac:dyDescent="0.25">
      <c r="J7" s="69"/>
      <c r="K7" s="66"/>
    </row>
    <row r="8" spans="8:14" x14ac:dyDescent="0.25">
      <c r="H8" s="68" t="s">
        <v>38</v>
      </c>
      <c r="I8" s="66">
        <v>0.05</v>
      </c>
      <c r="J8" s="64">
        <f>+J6*I8</f>
        <v>840000</v>
      </c>
    </row>
    <row r="9" spans="8:14" x14ac:dyDescent="0.25">
      <c r="H9" s="68" t="s">
        <v>39</v>
      </c>
      <c r="I9" s="66">
        <v>0.2</v>
      </c>
      <c r="J9" s="64">
        <f>+J6*I9</f>
        <v>3360000</v>
      </c>
    </row>
    <row r="10" spans="8:14" x14ac:dyDescent="0.25">
      <c r="H10" s="68" t="s">
        <v>40</v>
      </c>
      <c r="I10" s="66">
        <v>0.6</v>
      </c>
      <c r="J10" s="64">
        <f>+J6*I10</f>
        <v>10080000</v>
      </c>
    </row>
    <row r="11" spans="8:14" x14ac:dyDescent="0.25">
      <c r="H11" s="68" t="s">
        <v>42</v>
      </c>
      <c r="J11">
        <v>450000</v>
      </c>
    </row>
    <row r="12" spans="8:14" x14ac:dyDescent="0.25">
      <c r="J12" s="65">
        <f>+J6-J8-J9-J10</f>
        <v>2520000</v>
      </c>
    </row>
    <row r="14" spans="8:14" x14ac:dyDescent="0.25">
      <c r="H14" t="s">
        <v>41</v>
      </c>
      <c r="I14" s="66">
        <v>0.1</v>
      </c>
      <c r="J14">
        <f>+J12*I14</f>
        <v>252000</v>
      </c>
      <c r="L14" s="65">
        <f>+J8+J11+J14</f>
        <v>1542000</v>
      </c>
      <c r="M14" s="64">
        <f>+L14*90</f>
        <v>138780000</v>
      </c>
    </row>
    <row r="16" spans="8:14" x14ac:dyDescent="0.25">
      <c r="J16" s="65">
        <f>+J12-J14</f>
        <v>2268000</v>
      </c>
      <c r="N16">
        <v>0</v>
      </c>
    </row>
  </sheetData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3"/>
  <sheetViews>
    <sheetView workbookViewId="0">
      <selection activeCell="B4" sqref="B4"/>
    </sheetView>
  </sheetViews>
  <sheetFormatPr baseColWidth="10" defaultRowHeight="15" x14ac:dyDescent="0.25"/>
  <sheetData>
    <row r="2" spans="1:2" x14ac:dyDescent="0.25">
      <c r="A2" t="s">
        <v>66</v>
      </c>
      <c r="B2" t="s">
        <v>67</v>
      </c>
    </row>
    <row r="3" spans="1:2" x14ac:dyDescent="0.25">
      <c r="A3" t="s">
        <v>68</v>
      </c>
      <c r="B3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9"/>
  <sheetViews>
    <sheetView topLeftCell="A18" zoomScale="119" zoomScaleNormal="106" workbookViewId="0">
      <selection activeCell="C33" sqref="C33"/>
    </sheetView>
  </sheetViews>
  <sheetFormatPr baseColWidth="10" defaultRowHeight="15" x14ac:dyDescent="0.25"/>
  <cols>
    <col min="1" max="1" width="23.140625" customWidth="1"/>
    <col min="2" max="2" width="9.28515625" customWidth="1"/>
    <col min="3" max="3" width="8.7109375" customWidth="1"/>
    <col min="4" max="6" width="15.140625" customWidth="1"/>
    <col min="7" max="7" width="4.42578125" customWidth="1"/>
    <col min="8" max="10" width="15.28515625" customWidth="1"/>
    <col min="11" max="11" width="4.5703125" customWidth="1"/>
    <col min="12" max="14" width="15.5703125" customWidth="1"/>
  </cols>
  <sheetData>
    <row r="1" spans="1:14" ht="23.25" x14ac:dyDescent="0.35">
      <c r="A1" s="109" t="s">
        <v>4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46"/>
      <c r="N1" s="46"/>
    </row>
    <row r="2" spans="1:14" ht="18.75" x14ac:dyDescent="0.3">
      <c r="A2" s="110" t="s">
        <v>23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47"/>
      <c r="N2" s="47"/>
    </row>
    <row r="3" spans="1:14" ht="15.75" thickBot="1" x14ac:dyDescent="0.3"/>
    <row r="4" spans="1:14" ht="18" customHeight="1" thickBot="1" x14ac:dyDescent="0.3">
      <c r="A4" s="22" t="s">
        <v>8</v>
      </c>
      <c r="B4" s="23">
        <v>365</v>
      </c>
      <c r="C4" s="5" t="s">
        <v>9</v>
      </c>
    </row>
    <row r="5" spans="1:14" ht="16.5" customHeight="1" thickBot="1" x14ac:dyDescent="0.3">
      <c r="A5" s="22" t="s">
        <v>10</v>
      </c>
      <c r="B5" s="24">
        <v>700000</v>
      </c>
      <c r="C5" s="5" t="s">
        <v>11</v>
      </c>
    </row>
    <row r="6" spans="1:14" ht="15.75" thickBot="1" x14ac:dyDescent="0.3">
      <c r="A6" s="22" t="s">
        <v>12</v>
      </c>
      <c r="B6" s="25">
        <v>450000</v>
      </c>
      <c r="C6" s="5" t="s">
        <v>13</v>
      </c>
    </row>
    <row r="7" spans="1:14" ht="18.75" customHeight="1" thickBot="1" x14ac:dyDescent="0.3">
      <c r="A7" s="22" t="s">
        <v>14</v>
      </c>
      <c r="B7" s="23">
        <v>400</v>
      </c>
      <c r="C7" s="5" t="s">
        <v>15</v>
      </c>
    </row>
    <row r="8" spans="1:14" ht="18.75" customHeight="1" thickBot="1" x14ac:dyDescent="0.3">
      <c r="A8" s="1"/>
      <c r="I8" t="s">
        <v>1</v>
      </c>
    </row>
    <row r="9" spans="1:14" ht="27.75" customHeight="1" thickBot="1" x14ac:dyDescent="0.3">
      <c r="A9" s="90" t="s">
        <v>17</v>
      </c>
      <c r="B9" s="91"/>
      <c r="C9" s="91"/>
      <c r="D9" s="113" t="s">
        <v>5</v>
      </c>
      <c r="E9" s="114"/>
      <c r="F9" s="115"/>
      <c r="G9" s="7"/>
      <c r="H9" s="113" t="s">
        <v>6</v>
      </c>
      <c r="I9" s="114"/>
      <c r="J9" s="115"/>
      <c r="K9" s="7"/>
      <c r="L9" s="113" t="s">
        <v>7</v>
      </c>
      <c r="M9" s="114"/>
      <c r="N9" s="115"/>
    </row>
    <row r="10" spans="1:14" ht="20.25" customHeight="1" thickBot="1" x14ac:dyDescent="0.3">
      <c r="A10" s="111" t="s">
        <v>20</v>
      </c>
      <c r="B10" s="112"/>
      <c r="C10" s="112"/>
      <c r="D10" s="37" t="s">
        <v>24</v>
      </c>
      <c r="E10" s="51" t="s">
        <v>25</v>
      </c>
      <c r="F10" s="52" t="s">
        <v>26</v>
      </c>
      <c r="G10" s="6"/>
      <c r="H10" s="37" t="s">
        <v>24</v>
      </c>
      <c r="I10" s="51" t="s">
        <v>25</v>
      </c>
      <c r="J10" s="52" t="s">
        <v>26</v>
      </c>
      <c r="K10" s="44"/>
      <c r="L10" s="37" t="s">
        <v>24</v>
      </c>
      <c r="M10" s="51" t="s">
        <v>25</v>
      </c>
      <c r="N10" s="52" t="s">
        <v>26</v>
      </c>
    </row>
    <row r="11" spans="1:14" ht="15.75" customHeight="1" thickBot="1" x14ac:dyDescent="0.3">
      <c r="A11" s="97" t="s">
        <v>16</v>
      </c>
      <c r="B11" s="98"/>
      <c r="C11" s="98"/>
      <c r="D11" s="2">
        <v>0.45</v>
      </c>
      <c r="E11" s="29">
        <v>0.55000000000000004</v>
      </c>
      <c r="F11" s="32">
        <v>0.65</v>
      </c>
      <c r="G11" s="39"/>
      <c r="H11" s="2">
        <v>0.45</v>
      </c>
      <c r="I11" s="49">
        <v>0.55000000000000004</v>
      </c>
      <c r="J11" s="32">
        <v>0.65</v>
      </c>
      <c r="K11" s="39"/>
      <c r="L11" s="2">
        <v>0.45</v>
      </c>
      <c r="M11" s="30">
        <v>0.55000000000000004</v>
      </c>
      <c r="N11" s="33">
        <v>0.65</v>
      </c>
    </row>
    <row r="12" spans="1:14" ht="19.5" customHeight="1" thickBot="1" x14ac:dyDescent="0.3">
      <c r="A12" s="99" t="s">
        <v>22</v>
      </c>
      <c r="B12" s="100"/>
      <c r="C12" s="100"/>
      <c r="D12" s="17">
        <v>700000</v>
      </c>
      <c r="E12" s="31">
        <v>800000</v>
      </c>
      <c r="F12" s="35">
        <v>1000000</v>
      </c>
      <c r="G12" s="40"/>
      <c r="H12" s="18">
        <f>+((D12+(D12*5%)))</f>
        <v>735000</v>
      </c>
      <c r="I12" s="50">
        <f>+((E12+(E12*5%)))</f>
        <v>840000</v>
      </c>
      <c r="J12" s="34">
        <f>+((F12+(F12*5%)))</f>
        <v>1050000</v>
      </c>
      <c r="K12" s="45"/>
      <c r="L12" s="18">
        <f>+((H12+(H12*5%)))</f>
        <v>771750</v>
      </c>
      <c r="M12" s="26">
        <f>+((I12+(I12*5%)))</f>
        <v>882000</v>
      </c>
      <c r="N12" s="34">
        <f>+((J12+(J12*5%)))</f>
        <v>1102500</v>
      </c>
    </row>
    <row r="13" spans="1:14" ht="21.75" customHeight="1" thickBot="1" x14ac:dyDescent="0.3">
      <c r="A13" s="19"/>
      <c r="B13" s="19"/>
      <c r="C13" s="19"/>
      <c r="D13" s="20"/>
      <c r="E13" s="4"/>
      <c r="F13" s="38"/>
      <c r="H13" s="48"/>
      <c r="I13" s="3"/>
      <c r="J13" s="38"/>
      <c r="L13" s="20"/>
      <c r="M13" s="38"/>
      <c r="N13" s="5"/>
    </row>
    <row r="14" spans="1:14" ht="21" customHeight="1" x14ac:dyDescent="0.25">
      <c r="A14" s="121" t="s">
        <v>18</v>
      </c>
      <c r="B14" s="122"/>
      <c r="C14" s="123"/>
      <c r="D14" s="8">
        <f>+(B6*B7)*12</f>
        <v>2160000000</v>
      </c>
      <c r="E14" s="8">
        <f>+(B6*B7)*12</f>
        <v>2160000000</v>
      </c>
      <c r="F14" s="8">
        <f>+(B6*B7)*12</f>
        <v>2160000000</v>
      </c>
      <c r="G14" s="41"/>
      <c r="H14" s="8">
        <f>+(B6*B7)*12</f>
        <v>2160000000</v>
      </c>
      <c r="I14" s="9">
        <f>+(B6*B7)*12</f>
        <v>2160000000</v>
      </c>
      <c r="J14" s="8">
        <f>+(B6*B7)*12</f>
        <v>2160000000</v>
      </c>
      <c r="K14" s="41"/>
      <c r="L14" s="8">
        <f>+(B6*B7)*12</f>
        <v>2160000000</v>
      </c>
      <c r="M14" s="8">
        <f>+(B6*B7)*12</f>
        <v>2160000000</v>
      </c>
      <c r="N14" s="8">
        <f>+(B6*B7)*12</f>
        <v>2160000000</v>
      </c>
    </row>
    <row r="15" spans="1:14" ht="19.5" customHeight="1" x14ac:dyDescent="0.25">
      <c r="A15" s="124" t="s">
        <v>19</v>
      </c>
      <c r="B15" s="125"/>
      <c r="C15" s="126"/>
      <c r="D15" s="10">
        <f>+((B7*D12)*D11)*B4</f>
        <v>45990000000</v>
      </c>
      <c r="E15" s="10">
        <f>+((B7*E12)*E11)*B4</f>
        <v>64240000000</v>
      </c>
      <c r="F15" s="10">
        <f>+((B7*F12)*F11)*B4</f>
        <v>94900000000</v>
      </c>
      <c r="G15" s="41"/>
      <c r="H15" s="10">
        <f>+((B7*H12)*H11)*B4</f>
        <v>48289500000</v>
      </c>
      <c r="I15" s="11">
        <f>+((B7*I12)*I11)*B4</f>
        <v>67452000000.000008</v>
      </c>
      <c r="J15" s="10">
        <f>+((B7*J12)*J11)*B4</f>
        <v>99645000000</v>
      </c>
      <c r="K15" s="41"/>
      <c r="L15" s="10">
        <f>+((B7*L12)*L11)*B4</f>
        <v>50703975000</v>
      </c>
      <c r="M15" s="10">
        <f>+((B7*M12)*M11)*B4</f>
        <v>70824600000.000015</v>
      </c>
      <c r="N15" s="10">
        <f>+((B7*N12)*N11)*B4</f>
        <v>104627250000</v>
      </c>
    </row>
    <row r="16" spans="1:14" x14ac:dyDescent="0.25">
      <c r="A16" s="127" t="s">
        <v>21</v>
      </c>
      <c r="B16" s="128"/>
      <c r="C16" s="129"/>
      <c r="D16" s="10"/>
      <c r="E16" s="13"/>
      <c r="F16" s="13"/>
      <c r="G16" s="42"/>
      <c r="H16" s="10"/>
      <c r="I16" s="14"/>
      <c r="J16" s="13"/>
      <c r="K16" s="42"/>
      <c r="L16" s="10"/>
      <c r="M16" s="13"/>
      <c r="N16" s="13"/>
    </row>
    <row r="17" spans="1:14" ht="15.75" thickBot="1" x14ac:dyDescent="0.3">
      <c r="A17" s="119"/>
      <c r="B17" s="120"/>
      <c r="C17" s="120"/>
      <c r="D17" s="12"/>
      <c r="E17" s="15"/>
      <c r="F17" s="15"/>
      <c r="G17" s="42"/>
      <c r="H17" s="12"/>
      <c r="I17" s="16"/>
      <c r="J17" s="15"/>
      <c r="K17" s="42"/>
      <c r="L17" s="12"/>
      <c r="M17" s="15"/>
      <c r="N17" s="15"/>
    </row>
    <row r="18" spans="1:14" ht="23.25" customHeight="1" thickBot="1" x14ac:dyDescent="0.3">
      <c r="A18" s="116" t="s">
        <v>0</v>
      </c>
      <c r="B18" s="117"/>
      <c r="C18" s="118"/>
      <c r="D18" s="21">
        <f>+D14+D15</f>
        <v>48150000000</v>
      </c>
      <c r="E18" s="27">
        <f>+E14+E15</f>
        <v>66400000000</v>
      </c>
      <c r="F18" s="36">
        <f>+F14+F15</f>
        <v>97060000000</v>
      </c>
      <c r="G18" s="43"/>
      <c r="H18" s="21">
        <f t="shared" ref="H18:L18" si="0">+H14+H15</f>
        <v>50449500000</v>
      </c>
      <c r="I18" s="28">
        <f>+I14+I15</f>
        <v>69612000000</v>
      </c>
      <c r="J18" s="36">
        <f>+J14+J15</f>
        <v>101805000000</v>
      </c>
      <c r="K18" s="43"/>
      <c r="L18" s="21">
        <f t="shared" si="0"/>
        <v>52863975000</v>
      </c>
      <c r="M18" s="27">
        <f>+M14+M15</f>
        <v>72984600000.000015</v>
      </c>
      <c r="N18" s="36">
        <f>+N14+N15</f>
        <v>106787250000</v>
      </c>
    </row>
    <row r="19" spans="1:14" ht="11.25" customHeight="1" x14ac:dyDescent="0.25">
      <c r="H19" t="s">
        <v>1</v>
      </c>
    </row>
  </sheetData>
  <mergeCells count="14">
    <mergeCell ref="A18:C18"/>
    <mergeCell ref="A17:C17"/>
    <mergeCell ref="A12:C12"/>
    <mergeCell ref="A14:C14"/>
    <mergeCell ref="A15:C15"/>
    <mergeCell ref="A16:C16"/>
    <mergeCell ref="A1:L1"/>
    <mergeCell ref="A2:L2"/>
    <mergeCell ref="A9:C9"/>
    <mergeCell ref="A11:C11"/>
    <mergeCell ref="D9:F9"/>
    <mergeCell ref="A10:C10"/>
    <mergeCell ref="H9:J9"/>
    <mergeCell ref="L9:N9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Mostrar Ejemplos </vt:lpstr>
      <vt:lpstr>Hoja1</vt:lpstr>
      <vt:lpstr>Hoja3 (2)</vt:lpstr>
      <vt:lpstr>Hoja3</vt:lpstr>
      <vt:lpstr>Comp x Año - Dif Tarifa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GehSuites</dc:creator>
  <cp:lastModifiedBy>GehSuites</cp:lastModifiedBy>
  <dcterms:created xsi:type="dcterms:W3CDTF">2026-01-08T13:58:25Z</dcterms:created>
  <dcterms:modified xsi:type="dcterms:W3CDTF">2026-07-06T21:24:19Z</dcterms:modified>
</cp:coreProperties>
</file>